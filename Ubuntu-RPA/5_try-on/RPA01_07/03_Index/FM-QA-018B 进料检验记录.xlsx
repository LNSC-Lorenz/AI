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01856AF4-969F-4D43-90CC-2B6FD2EF3C2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检验记录" sheetId="1" r:id="rId1"/>
    <sheet name="抽样表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0" i="3" l="1"/>
  <c r="AC20" i="3"/>
  <c r="AA20" i="3"/>
  <c r="Y20" i="3"/>
  <c r="W20" i="3"/>
  <c r="R20" i="3"/>
  <c r="S20" i="3" s="1"/>
  <c r="T20" i="3" s="1"/>
  <c r="U20" i="3" s="1"/>
  <c r="AG19" i="3"/>
  <c r="AE19" i="3"/>
  <c r="AC19" i="3"/>
  <c r="AA19" i="3"/>
  <c r="Y19" i="3"/>
  <c r="T19" i="3"/>
  <c r="U19" i="3" s="1"/>
  <c r="V19" i="3" s="1"/>
  <c r="W19" i="3" s="1"/>
  <c r="AI18" i="3"/>
  <c r="AG18" i="3"/>
  <c r="AE18" i="3"/>
  <c r="AC18" i="3"/>
  <c r="AA18" i="3"/>
  <c r="V18" i="3"/>
  <c r="W18" i="3" s="1"/>
  <c r="X18" i="3" s="1"/>
  <c r="Y18" i="3" s="1"/>
  <c r="AK17" i="3"/>
  <c r="AI17" i="3"/>
  <c r="AG17" i="3"/>
  <c r="AE17" i="3"/>
  <c r="AC17" i="3"/>
  <c r="Z17" i="3"/>
  <c r="AA17" i="3" s="1"/>
  <c r="Y17" i="3"/>
  <c r="X17" i="3"/>
  <c r="AM16" i="3"/>
  <c r="AK16" i="3"/>
  <c r="AI16" i="3"/>
  <c r="AG16" i="3"/>
  <c r="AE16" i="3"/>
  <c r="AC16" i="3"/>
  <c r="AB16" i="3"/>
  <c r="AA16" i="3"/>
  <c r="Z16" i="3"/>
  <c r="AO15" i="3"/>
  <c r="AM15" i="3"/>
  <c r="AK15" i="3"/>
  <c r="AI15" i="3"/>
  <c r="AG15" i="3"/>
  <c r="AB15" i="3"/>
  <c r="AC15" i="3" s="1"/>
  <c r="AD15" i="3" s="1"/>
  <c r="AE15" i="3" s="1"/>
  <c r="AQ14" i="3"/>
  <c r="AO14" i="3"/>
  <c r="AM14" i="3"/>
  <c r="AK14" i="3"/>
  <c r="AI14" i="3"/>
  <c r="AE14" i="3"/>
  <c r="AF14" i="3" s="1"/>
  <c r="AG14" i="3" s="1"/>
  <c r="AD14" i="3"/>
  <c r="AS13" i="3"/>
  <c r="AQ13" i="3"/>
  <c r="AO13" i="3"/>
  <c r="AM13" i="3"/>
  <c r="AK13" i="3"/>
  <c r="AH13" i="3"/>
  <c r="AI13" i="3" s="1"/>
  <c r="AG13" i="3"/>
  <c r="AF13" i="3"/>
  <c r="AU12" i="3"/>
  <c r="AS12" i="3"/>
  <c r="AQ12" i="3"/>
  <c r="AO12" i="3"/>
  <c r="AM12" i="3"/>
  <c r="AH12" i="3"/>
  <c r="AI12" i="3" s="1"/>
  <c r="AJ12" i="3" s="1"/>
  <c r="AK12" i="3" s="1"/>
  <c r="AW11" i="3"/>
  <c r="AU11" i="3"/>
  <c r="AS11" i="3"/>
  <c r="AQ11" i="3"/>
  <c r="AO11" i="3"/>
  <c r="AJ11" i="3"/>
  <c r="AK11" i="3" s="1"/>
  <c r="AL11" i="3" s="1"/>
  <c r="AM11" i="3" s="1"/>
  <c r="AY10" i="3"/>
  <c r="AW10" i="3"/>
  <c r="AU10" i="3"/>
  <c r="AS10" i="3"/>
  <c r="AQ10" i="3"/>
  <c r="AL10" i="3"/>
  <c r="AM10" i="3" s="1"/>
  <c r="AN10" i="3" s="1"/>
  <c r="AO10" i="3" s="1"/>
  <c r="BE9" i="3"/>
  <c r="BC9" i="3"/>
  <c r="BA9" i="3"/>
  <c r="AY9" i="3"/>
  <c r="AW9" i="3"/>
  <c r="AU9" i="3"/>
  <c r="AS9" i="3"/>
  <c r="AN9" i="3"/>
  <c r="AO9" i="3" s="1"/>
  <c r="AP9" i="3" s="1"/>
  <c r="AQ9" i="3" s="1"/>
  <c r="BG8" i="3"/>
  <c r="BE8" i="3"/>
  <c r="BC8" i="3"/>
  <c r="BA8" i="3"/>
  <c r="AY8" i="3"/>
  <c r="AW8" i="3"/>
  <c r="AU8" i="3"/>
  <c r="AQ8" i="3"/>
  <c r="AR8" i="3" s="1"/>
  <c r="AS8" i="3" s="1"/>
  <c r="AP8" i="3"/>
  <c r="BI7" i="3"/>
  <c r="BG7" i="3"/>
  <c r="BE7" i="3"/>
  <c r="BC7" i="3"/>
  <c r="BA7" i="3"/>
  <c r="AY7" i="3"/>
  <c r="AW7" i="3"/>
  <c r="AR7" i="3"/>
  <c r="AS7" i="3" s="1"/>
  <c r="AT7" i="3" s="1"/>
  <c r="AU7" i="3" s="1"/>
  <c r="BK6" i="3"/>
  <c r="BI6" i="3"/>
  <c r="BG6" i="3"/>
  <c r="BE6" i="3"/>
  <c r="BC6" i="3"/>
  <c r="BA6" i="3"/>
  <c r="AY6" i="3"/>
  <c r="AT6" i="3"/>
  <c r="AU6" i="3" s="1"/>
  <c r="AV6" i="3" s="1"/>
  <c r="AW6" i="3" s="1"/>
  <c r="BK5" i="3"/>
  <c r="BI5" i="3"/>
  <c r="BG5" i="3"/>
  <c r="BE5" i="3"/>
  <c r="BC5" i="3"/>
  <c r="BA5" i="3"/>
  <c r="AV5" i="3"/>
  <c r="AW5" i="3" s="1"/>
  <c r="AX5" i="3" s="1"/>
  <c r="AY5" i="3" s="1"/>
  <c r="M12" i="1"/>
  <c r="M13" i="1"/>
  <c r="M14" i="1"/>
  <c r="M15" i="1"/>
  <c r="K13" i="1"/>
  <c r="L13" i="1"/>
  <c r="K14" i="1"/>
  <c r="L14" i="1"/>
  <c r="K15" i="1"/>
  <c r="L15" i="1"/>
  <c r="M8" i="1"/>
  <c r="M9" i="1"/>
  <c r="M10" i="1"/>
  <c r="M11" i="1"/>
  <c r="L10" i="1"/>
  <c r="K9" i="1"/>
  <c r="K10" i="1"/>
  <c r="K11" i="1"/>
  <c r="K12" i="1"/>
  <c r="L9" i="1"/>
  <c r="L11" i="1"/>
  <c r="L12" i="1"/>
  <c r="L8" i="1"/>
  <c r="K8" i="1"/>
</calcChain>
</file>

<file path=xl/sharedStrings.xml><?xml version="1.0" encoding="utf-8"?>
<sst xmlns="http://schemas.openxmlformats.org/spreadsheetml/2006/main" count="234" uniqueCount="77">
  <si>
    <t>供应商
Supplier</t>
    <phoneticPr fontId="1" type="noConversion"/>
  </si>
  <si>
    <t>产品名称
Product name</t>
    <phoneticPr fontId="1" type="noConversion"/>
  </si>
  <si>
    <t>采购单号
Purchase order No.</t>
    <phoneticPr fontId="1" type="noConversion"/>
  </si>
  <si>
    <t>检验员
Inspector</t>
    <phoneticPr fontId="1" type="noConversion"/>
  </si>
  <si>
    <t>图号
Drawing No</t>
    <phoneticPr fontId="1" type="noConversion"/>
  </si>
  <si>
    <r>
      <t xml:space="preserve">来料日期
</t>
    </r>
    <r>
      <rPr>
        <b/>
        <sz val="11"/>
        <color theme="1"/>
        <rFont val="等线"/>
        <family val="3"/>
        <charset val="134"/>
        <scheme val="minor"/>
      </rPr>
      <t>Incoming Date</t>
    </r>
    <phoneticPr fontId="1" type="noConversion"/>
  </si>
  <si>
    <r>
      <t xml:space="preserve">来料数量
</t>
    </r>
    <r>
      <rPr>
        <b/>
        <sz val="11"/>
        <color theme="1"/>
        <rFont val="等线"/>
        <family val="3"/>
        <charset val="134"/>
        <scheme val="minor"/>
      </rPr>
      <t>Incoming Quantity</t>
    </r>
    <phoneticPr fontId="1" type="noConversion"/>
  </si>
  <si>
    <r>
      <t xml:space="preserve">检验日期
</t>
    </r>
    <r>
      <rPr>
        <b/>
        <sz val="11"/>
        <color theme="1"/>
        <rFont val="等线"/>
        <family val="3"/>
        <charset val="134"/>
        <scheme val="minor"/>
      </rPr>
      <t>Inspection date</t>
    </r>
    <phoneticPr fontId="1" type="noConversion"/>
  </si>
  <si>
    <t>检验项目
Inspection Item</t>
    <phoneticPr fontId="1" type="noConversion"/>
  </si>
  <si>
    <t>序号
No.</t>
    <phoneticPr fontId="1" type="noConversion"/>
  </si>
  <si>
    <r>
      <t xml:space="preserve">检验数量
</t>
    </r>
    <r>
      <rPr>
        <b/>
        <sz val="11"/>
        <color theme="1"/>
        <rFont val="等线"/>
        <family val="3"/>
        <charset val="134"/>
        <scheme val="minor"/>
      </rPr>
      <t>Inspection quantity</t>
    </r>
    <phoneticPr fontId="1" type="noConversion"/>
  </si>
  <si>
    <t>实测值Measured value</t>
    <phoneticPr fontId="1" type="noConversion"/>
  </si>
  <si>
    <t>备注
Remarks</t>
    <phoneticPr fontId="1" type="noConversion"/>
  </si>
  <si>
    <t>判定
Determine</t>
    <phoneticPr fontId="1" type="noConversion"/>
  </si>
  <si>
    <t>Issued by: Quality</t>
  </si>
  <si>
    <t>Page：</t>
  </si>
  <si>
    <r>
      <t xml:space="preserve">No. </t>
    </r>
    <r>
      <rPr>
        <sz val="10"/>
        <color theme="1"/>
        <rFont val="Microsoft YaHei"/>
        <family val="2"/>
      </rPr>
      <t>FM-QA-018</t>
    </r>
  </si>
  <si>
    <t>资料
(原材料质保书、供应商检验报告）</t>
  </si>
  <si>
    <t>外观</t>
  </si>
  <si>
    <t>实测值（最大）
Measured value （Max）</t>
    <phoneticPr fontId="1" type="noConversion"/>
  </si>
  <si>
    <t>实测值（最小）
Measured value （Min）</t>
    <phoneticPr fontId="1" type="noConversion"/>
  </si>
  <si>
    <t xml:space="preserve">进料检验记录 Incoming Inspection Record </t>
  </si>
  <si>
    <t>下公差
Lower tolerance</t>
  </si>
  <si>
    <t>上公差
Upper tolerance</t>
  </si>
  <si>
    <t>材质</t>
  </si>
  <si>
    <t>REV.B</t>
  </si>
  <si>
    <t>正常检验一次抽样方案</t>
  </si>
  <si>
    <t>批量</t>
  </si>
  <si>
    <t>特殊检验水平</t>
  </si>
  <si>
    <t>一般检验水平</t>
  </si>
  <si>
    <t>样本量
字码</t>
  </si>
  <si>
    <t>样本
量</t>
  </si>
  <si>
    <r>
      <rPr>
        <b/>
        <sz val="12"/>
        <rFont val="宋体"/>
      </rPr>
      <t>接收质量限</t>
    </r>
    <r>
      <rPr>
        <b/>
        <sz val="12"/>
        <rFont val="Times New Roman"/>
        <family val="1"/>
      </rPr>
      <t>(AQL)</t>
    </r>
  </si>
  <si>
    <t>S-1</t>
  </si>
  <si>
    <t>S-2</t>
  </si>
  <si>
    <t>S-3</t>
  </si>
  <si>
    <t>S-4</t>
  </si>
  <si>
    <t>I</t>
  </si>
  <si>
    <t>II</t>
  </si>
  <si>
    <t>III</t>
  </si>
  <si>
    <t>Ac</t>
  </si>
  <si>
    <t>Re</t>
  </si>
  <si>
    <t>2~8</t>
  </si>
  <si>
    <t>A</t>
  </si>
  <si>
    <t>B</t>
  </si>
  <si>
    <t>9~15</t>
  </si>
  <si>
    <t>C</t>
  </si>
  <si>
    <t>16~25</t>
  </si>
  <si>
    <t>D</t>
  </si>
  <si>
    <t>26~50</t>
  </si>
  <si>
    <t>E</t>
  </si>
  <si>
    <t>51~90</t>
  </si>
  <si>
    <t>F</t>
  </si>
  <si>
    <t>91~150</t>
  </si>
  <si>
    <t>G</t>
  </si>
  <si>
    <t>151~280</t>
  </si>
  <si>
    <t>H</t>
  </si>
  <si>
    <t>281~500</t>
  </si>
  <si>
    <t>J</t>
  </si>
  <si>
    <t>501~1200</t>
  </si>
  <si>
    <t>K</t>
  </si>
  <si>
    <t>1201~3200</t>
  </si>
  <si>
    <t>L</t>
  </si>
  <si>
    <t>3201~10000</t>
  </si>
  <si>
    <t>M</t>
  </si>
  <si>
    <t>10001~35000</t>
  </si>
  <si>
    <t>N</t>
  </si>
  <si>
    <t>35001~150000</t>
  </si>
  <si>
    <t>P</t>
  </si>
  <si>
    <t>150001~500000</t>
  </si>
  <si>
    <t>Q</t>
  </si>
  <si>
    <t>≥500001</t>
  </si>
  <si>
    <t>R</t>
  </si>
  <si>
    <t>使用箭头下面的第一个抽样方案。如果样本量等于或超过批量，则执行100％全检。</t>
  </si>
  <si>
    <t>使用箭头上面的第一个抽样方案。</t>
  </si>
  <si>
    <t>接收数。</t>
  </si>
  <si>
    <t>拒收数。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</si>
</sst>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_ "/>
    <numFmt numFmtId="178" formatCode="0.0_ "/>
  </numFmts>
  <fonts count="1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0"/>
      <color theme="1"/>
      <name val="Microsoft YaHei"/>
      <family val="2"/>
    </font>
    <font>
      <sz val="10"/>
      <color theme="1"/>
      <name val="Microsoft YaHei"/>
      <family val="2"/>
    </font>
    <font>
      <b/>
      <sz val="14"/>
      <color theme="1"/>
      <name val="Microsoft YaHei"/>
      <family val="2"/>
    </font>
    <font>
      <sz val="10"/>
      <color theme="1"/>
      <name val="等线"/>
      <family val="2"/>
      <scheme val="minor"/>
    </font>
    <font>
      <sz val="8"/>
      <color theme="1"/>
      <name val="等线"/>
      <family val="2"/>
      <scheme val="minor"/>
    </font>
    <font>
      <sz val="11"/>
      <color theme="1"/>
      <name val="Calibri"/>
      <family val="2"/>
    </font>
    <font>
      <b/>
      <sz val="14"/>
      <color theme="1"/>
      <name val="Microsoft YaHei"/>
      <family val="2"/>
      <charset val="134"/>
    </font>
    <font>
      <sz val="11"/>
      <color theme="1"/>
      <name val="等线"/>
      <scheme val="minor"/>
    </font>
    <font>
      <b/>
      <sz val="14"/>
      <name val="宋体"/>
    </font>
    <font>
      <sz val="12"/>
      <name val="宋体"/>
    </font>
    <font>
      <sz val="9"/>
      <name val="宋体"/>
    </font>
    <font>
      <b/>
      <sz val="12"/>
      <name val="宋体"/>
    </font>
    <font>
      <b/>
      <sz val="12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>
      <alignment vertical="center"/>
    </xf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1" fillId="0" borderId="0" xfId="1">
      <alignment vertical="center"/>
    </xf>
    <xf numFmtId="0" fontId="13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176" fontId="17" fillId="0" borderId="1" xfId="1" applyNumberFormat="1" applyFont="1" applyBorder="1" applyAlignment="1">
      <alignment horizontal="center" vertical="center"/>
    </xf>
    <xf numFmtId="177" fontId="17" fillId="0" borderId="1" xfId="1" applyNumberFormat="1" applyFont="1" applyBorder="1" applyAlignment="1">
      <alignment horizontal="center" vertical="center"/>
    </xf>
    <xf numFmtId="178" fontId="17" fillId="0" borderId="1" xfId="1" applyNumberFormat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1" fillId="0" borderId="1" xfId="1" applyBorder="1">
      <alignment vertical="center"/>
    </xf>
    <xf numFmtId="0" fontId="18" fillId="0" borderId="0" xfId="1" applyFont="1">
      <alignment vertical="center"/>
    </xf>
    <xf numFmtId="0" fontId="17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18" fillId="0" borderId="0" xfId="1" applyFont="1" applyAlignment="1">
      <alignment horizontal="center" vertical="center"/>
    </xf>
    <xf numFmtId="0" fontId="18" fillId="0" borderId="0" xfId="1" applyFont="1" applyAlignment="1">
      <alignment horizontal="left" vertical="center"/>
    </xf>
  </cellXfs>
  <cellStyles count="2">
    <cellStyle name="常规" xfId="0" builtinId="0"/>
    <cellStyle name="常规 2" xfId="1" xr:uid="{6399B360-F86A-4362-BDDB-C373A97FF6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18729</xdr:colOff>
      <xdr:row>0</xdr:row>
      <xdr:rowOff>57150</xdr:rowOff>
    </xdr:from>
    <xdr:to>
      <xdr:col>13</xdr:col>
      <xdr:colOff>1282193</xdr:colOff>
      <xdr:row>0</xdr:row>
      <xdr:rowOff>539003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829" y="57150"/>
          <a:ext cx="2025464" cy="4818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95250</xdr:colOff>
      <xdr:row>19</xdr:row>
      <xdr:rowOff>66040</xdr:rowOff>
    </xdr:from>
    <xdr:to>
      <xdr:col>32</xdr:col>
      <xdr:colOff>66675</xdr:colOff>
      <xdr:row>19</xdr:row>
      <xdr:rowOff>171450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5A7050F3-85B9-48C7-AEF0-82EFBC5C9B16}"/>
            </a:ext>
          </a:extLst>
        </xdr:cNvPr>
        <xdr:cNvSpPr/>
      </xdr:nvSpPr>
      <xdr:spPr>
        <a:xfrm>
          <a:off x="9191625" y="5247640"/>
          <a:ext cx="171450" cy="10541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13</xdr:col>
      <xdr:colOff>104775</xdr:colOff>
      <xdr:row>18</xdr:row>
      <xdr:rowOff>0</xdr:rowOff>
    </xdr:from>
    <xdr:to>
      <xdr:col>14</xdr:col>
      <xdr:colOff>76200</xdr:colOff>
      <xdr:row>19</xdr:row>
      <xdr:rowOff>171450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C0CB5BF3-60D6-4D63-A06B-5341A6461F5E}"/>
            </a:ext>
          </a:extLst>
        </xdr:cNvPr>
        <xdr:cNvSpPr/>
      </xdr:nvSpPr>
      <xdr:spPr>
        <a:xfrm>
          <a:off x="5600700" y="4905375"/>
          <a:ext cx="171450" cy="447675"/>
        </a:xfrm>
        <a:prstGeom prst="upArrow">
          <a:avLst>
            <a:gd name="adj1" fmla="val 50000"/>
            <a:gd name="adj2" fmla="val 7666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15</xdr:col>
      <xdr:colOff>95250</xdr:colOff>
      <xdr:row>17</xdr:row>
      <xdr:rowOff>66040</xdr:rowOff>
    </xdr:from>
    <xdr:to>
      <xdr:col>16</xdr:col>
      <xdr:colOff>66675</xdr:colOff>
      <xdr:row>17</xdr:row>
      <xdr:rowOff>171450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BA4CACBE-7288-4146-A1D4-25F24220D8EA}"/>
            </a:ext>
          </a:extLst>
        </xdr:cNvPr>
        <xdr:cNvSpPr/>
      </xdr:nvSpPr>
      <xdr:spPr>
        <a:xfrm>
          <a:off x="5991225" y="4695190"/>
          <a:ext cx="171450" cy="10541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15</xdr:col>
      <xdr:colOff>95250</xdr:colOff>
      <xdr:row>18</xdr:row>
      <xdr:rowOff>76200</xdr:rowOff>
    </xdr:from>
    <xdr:to>
      <xdr:col>16</xdr:col>
      <xdr:colOff>66675</xdr:colOff>
      <xdr:row>18</xdr:row>
      <xdr:rowOff>171450</xdr:rowOff>
    </xdr:to>
    <xdr:sp macro="" textlink="">
      <xdr:nvSpPr>
        <xdr:cNvPr id="5" name="AutoShape 7">
          <a:extLst>
            <a:ext uri="{FF2B5EF4-FFF2-40B4-BE49-F238E27FC236}">
              <a16:creationId xmlns:a16="http://schemas.microsoft.com/office/drawing/2014/main" id="{7FA83930-9804-4FEA-A17A-EF32BAEF88B8}"/>
            </a:ext>
          </a:extLst>
        </xdr:cNvPr>
        <xdr:cNvSpPr/>
      </xdr:nvSpPr>
      <xdr:spPr>
        <a:xfrm rot="10800000">
          <a:off x="5991225" y="4981575"/>
          <a:ext cx="171450" cy="9525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17</xdr:col>
      <xdr:colOff>95250</xdr:colOff>
      <xdr:row>16</xdr:row>
      <xdr:rowOff>66040</xdr:rowOff>
    </xdr:from>
    <xdr:to>
      <xdr:col>18</xdr:col>
      <xdr:colOff>66675</xdr:colOff>
      <xdr:row>16</xdr:row>
      <xdr:rowOff>171450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F9947030-2D03-4D9F-9095-3A2F9D3E031B}"/>
            </a:ext>
          </a:extLst>
        </xdr:cNvPr>
        <xdr:cNvSpPr/>
      </xdr:nvSpPr>
      <xdr:spPr>
        <a:xfrm>
          <a:off x="6391275" y="4418965"/>
          <a:ext cx="171450" cy="10541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17</xdr:col>
      <xdr:colOff>95250</xdr:colOff>
      <xdr:row>17</xdr:row>
      <xdr:rowOff>76200</xdr:rowOff>
    </xdr:from>
    <xdr:to>
      <xdr:col>18</xdr:col>
      <xdr:colOff>66675</xdr:colOff>
      <xdr:row>17</xdr:row>
      <xdr:rowOff>171450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6E82DD72-7F8A-4656-935C-F9D371EC7693}"/>
            </a:ext>
          </a:extLst>
        </xdr:cNvPr>
        <xdr:cNvSpPr/>
      </xdr:nvSpPr>
      <xdr:spPr>
        <a:xfrm rot="10800000">
          <a:off x="6391275" y="4705350"/>
          <a:ext cx="171450" cy="9525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19</xdr:col>
      <xdr:colOff>95250</xdr:colOff>
      <xdr:row>15</xdr:row>
      <xdr:rowOff>66040</xdr:rowOff>
    </xdr:from>
    <xdr:to>
      <xdr:col>20</xdr:col>
      <xdr:colOff>66675</xdr:colOff>
      <xdr:row>15</xdr:row>
      <xdr:rowOff>171450</xdr:rowOff>
    </xdr:to>
    <xdr:sp macro="" textlink="">
      <xdr:nvSpPr>
        <xdr:cNvPr id="8" name="AutoShape 10">
          <a:extLst>
            <a:ext uri="{FF2B5EF4-FFF2-40B4-BE49-F238E27FC236}">
              <a16:creationId xmlns:a16="http://schemas.microsoft.com/office/drawing/2014/main" id="{86C48305-E2D2-49BE-9877-677822417D7A}"/>
            </a:ext>
          </a:extLst>
        </xdr:cNvPr>
        <xdr:cNvSpPr/>
      </xdr:nvSpPr>
      <xdr:spPr>
        <a:xfrm>
          <a:off x="6791325" y="4142740"/>
          <a:ext cx="171450" cy="10541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19</xdr:col>
      <xdr:colOff>95250</xdr:colOff>
      <xdr:row>16</xdr:row>
      <xdr:rowOff>76200</xdr:rowOff>
    </xdr:from>
    <xdr:to>
      <xdr:col>20</xdr:col>
      <xdr:colOff>66675</xdr:colOff>
      <xdr:row>16</xdr:row>
      <xdr:rowOff>171450</xdr:rowOff>
    </xdr:to>
    <xdr:sp macro="" textlink="">
      <xdr:nvSpPr>
        <xdr:cNvPr id="9" name="AutoShape 11">
          <a:extLst>
            <a:ext uri="{FF2B5EF4-FFF2-40B4-BE49-F238E27FC236}">
              <a16:creationId xmlns:a16="http://schemas.microsoft.com/office/drawing/2014/main" id="{55080C3C-36B6-4840-B6C5-09D2CAADD480}"/>
            </a:ext>
          </a:extLst>
        </xdr:cNvPr>
        <xdr:cNvSpPr/>
      </xdr:nvSpPr>
      <xdr:spPr>
        <a:xfrm rot="10800000">
          <a:off x="6791325" y="4429125"/>
          <a:ext cx="171450" cy="9525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21</xdr:col>
      <xdr:colOff>95250</xdr:colOff>
      <xdr:row>14</xdr:row>
      <xdr:rowOff>66040</xdr:rowOff>
    </xdr:from>
    <xdr:to>
      <xdr:col>22</xdr:col>
      <xdr:colOff>66675</xdr:colOff>
      <xdr:row>14</xdr:row>
      <xdr:rowOff>171450</xdr:rowOff>
    </xdr:to>
    <xdr:sp macro="" textlink="">
      <xdr:nvSpPr>
        <xdr:cNvPr id="10" name="AutoShape 12">
          <a:extLst>
            <a:ext uri="{FF2B5EF4-FFF2-40B4-BE49-F238E27FC236}">
              <a16:creationId xmlns:a16="http://schemas.microsoft.com/office/drawing/2014/main" id="{83E53067-3625-4249-938D-5662542F08D8}"/>
            </a:ext>
          </a:extLst>
        </xdr:cNvPr>
        <xdr:cNvSpPr/>
      </xdr:nvSpPr>
      <xdr:spPr>
        <a:xfrm>
          <a:off x="7191375" y="3866515"/>
          <a:ext cx="171450" cy="10541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21</xdr:col>
      <xdr:colOff>95250</xdr:colOff>
      <xdr:row>15</xdr:row>
      <xdr:rowOff>76200</xdr:rowOff>
    </xdr:from>
    <xdr:to>
      <xdr:col>22</xdr:col>
      <xdr:colOff>66675</xdr:colOff>
      <xdr:row>15</xdr:row>
      <xdr:rowOff>171450</xdr:rowOff>
    </xdr:to>
    <xdr:sp macro="" textlink="">
      <xdr:nvSpPr>
        <xdr:cNvPr id="11" name="AutoShape 13">
          <a:extLst>
            <a:ext uri="{FF2B5EF4-FFF2-40B4-BE49-F238E27FC236}">
              <a16:creationId xmlns:a16="http://schemas.microsoft.com/office/drawing/2014/main" id="{88C6DFE7-C730-4277-936C-CA9B602D3DF5}"/>
            </a:ext>
          </a:extLst>
        </xdr:cNvPr>
        <xdr:cNvSpPr/>
      </xdr:nvSpPr>
      <xdr:spPr>
        <a:xfrm rot="10800000">
          <a:off x="7191375" y="4152900"/>
          <a:ext cx="171450" cy="9525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23</xdr:col>
      <xdr:colOff>95250</xdr:colOff>
      <xdr:row>13</xdr:row>
      <xdr:rowOff>66040</xdr:rowOff>
    </xdr:from>
    <xdr:to>
      <xdr:col>24</xdr:col>
      <xdr:colOff>66675</xdr:colOff>
      <xdr:row>13</xdr:row>
      <xdr:rowOff>171450</xdr:rowOff>
    </xdr:to>
    <xdr:sp macro="" textlink="">
      <xdr:nvSpPr>
        <xdr:cNvPr id="12" name="AutoShape 14">
          <a:extLst>
            <a:ext uri="{FF2B5EF4-FFF2-40B4-BE49-F238E27FC236}">
              <a16:creationId xmlns:a16="http://schemas.microsoft.com/office/drawing/2014/main" id="{9C545B88-2B47-404D-B085-DD98C7D227B0}"/>
            </a:ext>
          </a:extLst>
        </xdr:cNvPr>
        <xdr:cNvSpPr/>
      </xdr:nvSpPr>
      <xdr:spPr>
        <a:xfrm>
          <a:off x="7591425" y="3590290"/>
          <a:ext cx="171450" cy="10541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23</xdr:col>
      <xdr:colOff>95250</xdr:colOff>
      <xdr:row>14</xdr:row>
      <xdr:rowOff>76200</xdr:rowOff>
    </xdr:from>
    <xdr:to>
      <xdr:col>24</xdr:col>
      <xdr:colOff>66675</xdr:colOff>
      <xdr:row>14</xdr:row>
      <xdr:rowOff>171450</xdr:rowOff>
    </xdr:to>
    <xdr:sp macro="" textlink="">
      <xdr:nvSpPr>
        <xdr:cNvPr id="13" name="AutoShape 15">
          <a:extLst>
            <a:ext uri="{FF2B5EF4-FFF2-40B4-BE49-F238E27FC236}">
              <a16:creationId xmlns:a16="http://schemas.microsoft.com/office/drawing/2014/main" id="{66B2D3C9-178B-447F-881A-0F1DB00A1EC2}"/>
            </a:ext>
          </a:extLst>
        </xdr:cNvPr>
        <xdr:cNvSpPr/>
      </xdr:nvSpPr>
      <xdr:spPr>
        <a:xfrm rot="10800000">
          <a:off x="7591425" y="3876675"/>
          <a:ext cx="171450" cy="9525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25</xdr:col>
      <xdr:colOff>95250</xdr:colOff>
      <xdr:row>12</xdr:row>
      <xdr:rowOff>66040</xdr:rowOff>
    </xdr:from>
    <xdr:to>
      <xdr:col>26</xdr:col>
      <xdr:colOff>66675</xdr:colOff>
      <xdr:row>12</xdr:row>
      <xdr:rowOff>171450</xdr:rowOff>
    </xdr:to>
    <xdr:sp macro="" textlink="">
      <xdr:nvSpPr>
        <xdr:cNvPr id="14" name="AutoShape 16">
          <a:extLst>
            <a:ext uri="{FF2B5EF4-FFF2-40B4-BE49-F238E27FC236}">
              <a16:creationId xmlns:a16="http://schemas.microsoft.com/office/drawing/2014/main" id="{94A4F5C9-65A8-4A10-9A8A-8D5E308BB604}"/>
            </a:ext>
          </a:extLst>
        </xdr:cNvPr>
        <xdr:cNvSpPr/>
      </xdr:nvSpPr>
      <xdr:spPr>
        <a:xfrm>
          <a:off x="7991475" y="3314065"/>
          <a:ext cx="171450" cy="10541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25</xdr:col>
      <xdr:colOff>95250</xdr:colOff>
      <xdr:row>13</xdr:row>
      <xdr:rowOff>76200</xdr:rowOff>
    </xdr:from>
    <xdr:to>
      <xdr:col>26</xdr:col>
      <xdr:colOff>66675</xdr:colOff>
      <xdr:row>13</xdr:row>
      <xdr:rowOff>171450</xdr:rowOff>
    </xdr:to>
    <xdr:sp macro="" textlink="">
      <xdr:nvSpPr>
        <xdr:cNvPr id="15" name="AutoShape 17">
          <a:extLst>
            <a:ext uri="{FF2B5EF4-FFF2-40B4-BE49-F238E27FC236}">
              <a16:creationId xmlns:a16="http://schemas.microsoft.com/office/drawing/2014/main" id="{38FD8EDF-1984-4F1E-AFA5-EF5B69CC56F3}"/>
            </a:ext>
          </a:extLst>
        </xdr:cNvPr>
        <xdr:cNvSpPr/>
      </xdr:nvSpPr>
      <xdr:spPr>
        <a:xfrm rot="10800000">
          <a:off x="7991475" y="3600450"/>
          <a:ext cx="171450" cy="9525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27</xdr:col>
      <xdr:colOff>95250</xdr:colOff>
      <xdr:row>11</xdr:row>
      <xdr:rowOff>66040</xdr:rowOff>
    </xdr:from>
    <xdr:to>
      <xdr:col>28</xdr:col>
      <xdr:colOff>66675</xdr:colOff>
      <xdr:row>11</xdr:row>
      <xdr:rowOff>171450</xdr:rowOff>
    </xdr:to>
    <xdr:sp macro="" textlink="">
      <xdr:nvSpPr>
        <xdr:cNvPr id="16" name="AutoShape 18">
          <a:extLst>
            <a:ext uri="{FF2B5EF4-FFF2-40B4-BE49-F238E27FC236}">
              <a16:creationId xmlns:a16="http://schemas.microsoft.com/office/drawing/2014/main" id="{074FB267-22BD-4B85-9FF8-F0F3A60C1EA9}"/>
            </a:ext>
          </a:extLst>
        </xdr:cNvPr>
        <xdr:cNvSpPr/>
      </xdr:nvSpPr>
      <xdr:spPr>
        <a:xfrm>
          <a:off x="8391525" y="3037840"/>
          <a:ext cx="171450" cy="10541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27</xdr:col>
      <xdr:colOff>95250</xdr:colOff>
      <xdr:row>12</xdr:row>
      <xdr:rowOff>76200</xdr:rowOff>
    </xdr:from>
    <xdr:to>
      <xdr:col>28</xdr:col>
      <xdr:colOff>66675</xdr:colOff>
      <xdr:row>12</xdr:row>
      <xdr:rowOff>171450</xdr:rowOff>
    </xdr:to>
    <xdr:sp macro="" textlink="">
      <xdr:nvSpPr>
        <xdr:cNvPr id="17" name="AutoShape 19">
          <a:extLst>
            <a:ext uri="{FF2B5EF4-FFF2-40B4-BE49-F238E27FC236}">
              <a16:creationId xmlns:a16="http://schemas.microsoft.com/office/drawing/2014/main" id="{7948C346-8D05-401F-A7CC-7D0C736FD0F9}"/>
            </a:ext>
          </a:extLst>
        </xdr:cNvPr>
        <xdr:cNvSpPr/>
      </xdr:nvSpPr>
      <xdr:spPr>
        <a:xfrm rot="10800000">
          <a:off x="8391525" y="3324225"/>
          <a:ext cx="171450" cy="9525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29</xdr:col>
      <xdr:colOff>95250</xdr:colOff>
      <xdr:row>10</xdr:row>
      <xdr:rowOff>66040</xdr:rowOff>
    </xdr:from>
    <xdr:to>
      <xdr:col>30</xdr:col>
      <xdr:colOff>66675</xdr:colOff>
      <xdr:row>10</xdr:row>
      <xdr:rowOff>171450</xdr:rowOff>
    </xdr:to>
    <xdr:sp macro="" textlink="">
      <xdr:nvSpPr>
        <xdr:cNvPr id="18" name="AutoShape 20">
          <a:extLst>
            <a:ext uri="{FF2B5EF4-FFF2-40B4-BE49-F238E27FC236}">
              <a16:creationId xmlns:a16="http://schemas.microsoft.com/office/drawing/2014/main" id="{311FB544-CABE-403B-BB4D-94DE5FEEA5CD}"/>
            </a:ext>
          </a:extLst>
        </xdr:cNvPr>
        <xdr:cNvSpPr/>
      </xdr:nvSpPr>
      <xdr:spPr>
        <a:xfrm>
          <a:off x="8791575" y="2761615"/>
          <a:ext cx="171450" cy="10541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29</xdr:col>
      <xdr:colOff>95250</xdr:colOff>
      <xdr:row>11</xdr:row>
      <xdr:rowOff>76200</xdr:rowOff>
    </xdr:from>
    <xdr:to>
      <xdr:col>30</xdr:col>
      <xdr:colOff>66675</xdr:colOff>
      <xdr:row>11</xdr:row>
      <xdr:rowOff>171450</xdr:rowOff>
    </xdr:to>
    <xdr:sp macro="" textlink="">
      <xdr:nvSpPr>
        <xdr:cNvPr id="19" name="AutoShape 21">
          <a:extLst>
            <a:ext uri="{FF2B5EF4-FFF2-40B4-BE49-F238E27FC236}">
              <a16:creationId xmlns:a16="http://schemas.microsoft.com/office/drawing/2014/main" id="{C47B3569-6D93-40B9-957C-38FEED647A40}"/>
            </a:ext>
          </a:extLst>
        </xdr:cNvPr>
        <xdr:cNvSpPr/>
      </xdr:nvSpPr>
      <xdr:spPr>
        <a:xfrm rot="10800000">
          <a:off x="8791575" y="3048000"/>
          <a:ext cx="171450" cy="9525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31</xdr:col>
      <xdr:colOff>95250</xdr:colOff>
      <xdr:row>9</xdr:row>
      <xdr:rowOff>66040</xdr:rowOff>
    </xdr:from>
    <xdr:to>
      <xdr:col>32</xdr:col>
      <xdr:colOff>66675</xdr:colOff>
      <xdr:row>9</xdr:row>
      <xdr:rowOff>171450</xdr:rowOff>
    </xdr:to>
    <xdr:sp macro="" textlink="">
      <xdr:nvSpPr>
        <xdr:cNvPr id="20" name="AutoShape 22">
          <a:extLst>
            <a:ext uri="{FF2B5EF4-FFF2-40B4-BE49-F238E27FC236}">
              <a16:creationId xmlns:a16="http://schemas.microsoft.com/office/drawing/2014/main" id="{17884823-8AC2-49B0-804F-FF0CFB7A7D38}"/>
            </a:ext>
          </a:extLst>
        </xdr:cNvPr>
        <xdr:cNvSpPr/>
      </xdr:nvSpPr>
      <xdr:spPr>
        <a:xfrm>
          <a:off x="9191625" y="2485390"/>
          <a:ext cx="171450" cy="10541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31</xdr:col>
      <xdr:colOff>95250</xdr:colOff>
      <xdr:row>10</xdr:row>
      <xdr:rowOff>76200</xdr:rowOff>
    </xdr:from>
    <xdr:to>
      <xdr:col>32</xdr:col>
      <xdr:colOff>66675</xdr:colOff>
      <xdr:row>10</xdr:row>
      <xdr:rowOff>171450</xdr:rowOff>
    </xdr:to>
    <xdr:sp macro="" textlink="">
      <xdr:nvSpPr>
        <xdr:cNvPr id="21" name="AutoShape 23">
          <a:extLst>
            <a:ext uri="{FF2B5EF4-FFF2-40B4-BE49-F238E27FC236}">
              <a16:creationId xmlns:a16="http://schemas.microsoft.com/office/drawing/2014/main" id="{617650C7-CCC2-4C35-A05C-6FA0A2F921A8}"/>
            </a:ext>
          </a:extLst>
        </xdr:cNvPr>
        <xdr:cNvSpPr/>
      </xdr:nvSpPr>
      <xdr:spPr>
        <a:xfrm rot="10800000">
          <a:off x="9191625" y="2771775"/>
          <a:ext cx="171450" cy="9525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33</xdr:col>
      <xdr:colOff>95250</xdr:colOff>
      <xdr:row>8</xdr:row>
      <xdr:rowOff>66040</xdr:rowOff>
    </xdr:from>
    <xdr:to>
      <xdr:col>34</xdr:col>
      <xdr:colOff>66675</xdr:colOff>
      <xdr:row>8</xdr:row>
      <xdr:rowOff>171450</xdr:rowOff>
    </xdr:to>
    <xdr:sp macro="" textlink="">
      <xdr:nvSpPr>
        <xdr:cNvPr id="22" name="AutoShape 24">
          <a:extLst>
            <a:ext uri="{FF2B5EF4-FFF2-40B4-BE49-F238E27FC236}">
              <a16:creationId xmlns:a16="http://schemas.microsoft.com/office/drawing/2014/main" id="{FFCDC2BA-08CC-436E-91DF-8527552DD8ED}"/>
            </a:ext>
          </a:extLst>
        </xdr:cNvPr>
        <xdr:cNvSpPr/>
      </xdr:nvSpPr>
      <xdr:spPr>
        <a:xfrm>
          <a:off x="9591675" y="2209165"/>
          <a:ext cx="171450" cy="10541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33</xdr:col>
      <xdr:colOff>95250</xdr:colOff>
      <xdr:row>9</xdr:row>
      <xdr:rowOff>76200</xdr:rowOff>
    </xdr:from>
    <xdr:to>
      <xdr:col>34</xdr:col>
      <xdr:colOff>66675</xdr:colOff>
      <xdr:row>9</xdr:row>
      <xdr:rowOff>171450</xdr:rowOff>
    </xdr:to>
    <xdr:sp macro="" textlink="">
      <xdr:nvSpPr>
        <xdr:cNvPr id="23" name="AutoShape 25">
          <a:extLst>
            <a:ext uri="{FF2B5EF4-FFF2-40B4-BE49-F238E27FC236}">
              <a16:creationId xmlns:a16="http://schemas.microsoft.com/office/drawing/2014/main" id="{0D6297A9-DBF0-4497-97B9-5AABC80E48B6}"/>
            </a:ext>
          </a:extLst>
        </xdr:cNvPr>
        <xdr:cNvSpPr/>
      </xdr:nvSpPr>
      <xdr:spPr>
        <a:xfrm rot="10800000">
          <a:off x="9591675" y="2495550"/>
          <a:ext cx="171450" cy="9525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35</xdr:col>
      <xdr:colOff>95250</xdr:colOff>
      <xdr:row>7</xdr:row>
      <xdr:rowOff>66040</xdr:rowOff>
    </xdr:from>
    <xdr:to>
      <xdr:col>36</xdr:col>
      <xdr:colOff>66675</xdr:colOff>
      <xdr:row>7</xdr:row>
      <xdr:rowOff>171450</xdr:rowOff>
    </xdr:to>
    <xdr:sp macro="" textlink="">
      <xdr:nvSpPr>
        <xdr:cNvPr id="24" name="AutoShape 26">
          <a:extLst>
            <a:ext uri="{FF2B5EF4-FFF2-40B4-BE49-F238E27FC236}">
              <a16:creationId xmlns:a16="http://schemas.microsoft.com/office/drawing/2014/main" id="{98350CDD-D821-4ECD-9ACC-63BD22F1109D}"/>
            </a:ext>
          </a:extLst>
        </xdr:cNvPr>
        <xdr:cNvSpPr/>
      </xdr:nvSpPr>
      <xdr:spPr>
        <a:xfrm>
          <a:off x="9991725" y="1932940"/>
          <a:ext cx="171450" cy="10541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35</xdr:col>
      <xdr:colOff>95250</xdr:colOff>
      <xdr:row>8</xdr:row>
      <xdr:rowOff>76200</xdr:rowOff>
    </xdr:from>
    <xdr:to>
      <xdr:col>36</xdr:col>
      <xdr:colOff>66675</xdr:colOff>
      <xdr:row>8</xdr:row>
      <xdr:rowOff>171450</xdr:rowOff>
    </xdr:to>
    <xdr:sp macro="" textlink="">
      <xdr:nvSpPr>
        <xdr:cNvPr id="25" name="AutoShape 27">
          <a:extLst>
            <a:ext uri="{FF2B5EF4-FFF2-40B4-BE49-F238E27FC236}">
              <a16:creationId xmlns:a16="http://schemas.microsoft.com/office/drawing/2014/main" id="{B60DC1DF-385A-46F1-93A2-DC9A848C498D}"/>
            </a:ext>
          </a:extLst>
        </xdr:cNvPr>
        <xdr:cNvSpPr/>
      </xdr:nvSpPr>
      <xdr:spPr>
        <a:xfrm rot="10800000">
          <a:off x="9991725" y="2219325"/>
          <a:ext cx="171450" cy="9525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37</xdr:col>
      <xdr:colOff>95250</xdr:colOff>
      <xdr:row>6</xdr:row>
      <xdr:rowOff>66040</xdr:rowOff>
    </xdr:from>
    <xdr:to>
      <xdr:col>38</xdr:col>
      <xdr:colOff>66675</xdr:colOff>
      <xdr:row>6</xdr:row>
      <xdr:rowOff>171450</xdr:rowOff>
    </xdr:to>
    <xdr:sp macro="" textlink="">
      <xdr:nvSpPr>
        <xdr:cNvPr id="26" name="AutoShape 28">
          <a:extLst>
            <a:ext uri="{FF2B5EF4-FFF2-40B4-BE49-F238E27FC236}">
              <a16:creationId xmlns:a16="http://schemas.microsoft.com/office/drawing/2014/main" id="{63B69F38-B05E-4686-8908-906EADF29ADE}"/>
            </a:ext>
          </a:extLst>
        </xdr:cNvPr>
        <xdr:cNvSpPr/>
      </xdr:nvSpPr>
      <xdr:spPr>
        <a:xfrm>
          <a:off x="10391775" y="1656715"/>
          <a:ext cx="171450" cy="10541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37</xdr:col>
      <xdr:colOff>95250</xdr:colOff>
      <xdr:row>7</xdr:row>
      <xdr:rowOff>76200</xdr:rowOff>
    </xdr:from>
    <xdr:to>
      <xdr:col>38</xdr:col>
      <xdr:colOff>66675</xdr:colOff>
      <xdr:row>7</xdr:row>
      <xdr:rowOff>171450</xdr:rowOff>
    </xdr:to>
    <xdr:sp macro="" textlink="">
      <xdr:nvSpPr>
        <xdr:cNvPr id="27" name="AutoShape 29">
          <a:extLst>
            <a:ext uri="{FF2B5EF4-FFF2-40B4-BE49-F238E27FC236}">
              <a16:creationId xmlns:a16="http://schemas.microsoft.com/office/drawing/2014/main" id="{70E5A313-7093-411D-B20D-13F5A0B94A64}"/>
            </a:ext>
          </a:extLst>
        </xdr:cNvPr>
        <xdr:cNvSpPr/>
      </xdr:nvSpPr>
      <xdr:spPr>
        <a:xfrm rot="10800000">
          <a:off x="10391775" y="1943100"/>
          <a:ext cx="171450" cy="9525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39</xdr:col>
      <xdr:colOff>95250</xdr:colOff>
      <xdr:row>5</xdr:row>
      <xdr:rowOff>66040</xdr:rowOff>
    </xdr:from>
    <xdr:to>
      <xdr:col>40</xdr:col>
      <xdr:colOff>66675</xdr:colOff>
      <xdr:row>5</xdr:row>
      <xdr:rowOff>171450</xdr:rowOff>
    </xdr:to>
    <xdr:sp macro="" textlink="">
      <xdr:nvSpPr>
        <xdr:cNvPr id="28" name="AutoShape 30">
          <a:extLst>
            <a:ext uri="{FF2B5EF4-FFF2-40B4-BE49-F238E27FC236}">
              <a16:creationId xmlns:a16="http://schemas.microsoft.com/office/drawing/2014/main" id="{EF4A5E4B-9DE9-478A-AFC1-EB48C7A46031}"/>
            </a:ext>
          </a:extLst>
        </xdr:cNvPr>
        <xdr:cNvSpPr/>
      </xdr:nvSpPr>
      <xdr:spPr>
        <a:xfrm>
          <a:off x="10791825" y="1380490"/>
          <a:ext cx="171450" cy="10541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39</xdr:col>
      <xdr:colOff>95250</xdr:colOff>
      <xdr:row>6</xdr:row>
      <xdr:rowOff>76200</xdr:rowOff>
    </xdr:from>
    <xdr:to>
      <xdr:col>40</xdr:col>
      <xdr:colOff>66675</xdr:colOff>
      <xdr:row>6</xdr:row>
      <xdr:rowOff>171450</xdr:rowOff>
    </xdr:to>
    <xdr:sp macro="" textlink="">
      <xdr:nvSpPr>
        <xdr:cNvPr id="29" name="AutoShape 31">
          <a:extLst>
            <a:ext uri="{FF2B5EF4-FFF2-40B4-BE49-F238E27FC236}">
              <a16:creationId xmlns:a16="http://schemas.microsoft.com/office/drawing/2014/main" id="{D7511678-C28C-439D-9A9E-30031ACAACCE}"/>
            </a:ext>
          </a:extLst>
        </xdr:cNvPr>
        <xdr:cNvSpPr/>
      </xdr:nvSpPr>
      <xdr:spPr>
        <a:xfrm rot="10800000">
          <a:off x="10791825" y="1666875"/>
          <a:ext cx="171450" cy="9525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41</xdr:col>
      <xdr:colOff>95250</xdr:colOff>
      <xdr:row>4</xdr:row>
      <xdr:rowOff>76200</xdr:rowOff>
    </xdr:from>
    <xdr:to>
      <xdr:col>42</xdr:col>
      <xdr:colOff>66675</xdr:colOff>
      <xdr:row>5</xdr:row>
      <xdr:rowOff>171450</xdr:rowOff>
    </xdr:to>
    <xdr:sp macro="" textlink="">
      <xdr:nvSpPr>
        <xdr:cNvPr id="30" name="AutoShape 33">
          <a:extLst>
            <a:ext uri="{FF2B5EF4-FFF2-40B4-BE49-F238E27FC236}">
              <a16:creationId xmlns:a16="http://schemas.microsoft.com/office/drawing/2014/main" id="{61A92752-E880-4FBB-A34B-A155117B4587}"/>
            </a:ext>
          </a:extLst>
        </xdr:cNvPr>
        <xdr:cNvSpPr/>
      </xdr:nvSpPr>
      <xdr:spPr>
        <a:xfrm rot="10800000">
          <a:off x="11191875" y="1114425"/>
          <a:ext cx="171450" cy="371475"/>
        </a:xfrm>
        <a:prstGeom prst="upArrow">
          <a:avLst>
            <a:gd name="adj1" fmla="val 50000"/>
            <a:gd name="adj2" fmla="val 6511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43</xdr:col>
      <xdr:colOff>95250</xdr:colOff>
      <xdr:row>4</xdr:row>
      <xdr:rowOff>76200</xdr:rowOff>
    </xdr:from>
    <xdr:to>
      <xdr:col>44</xdr:col>
      <xdr:colOff>66675</xdr:colOff>
      <xdr:row>4</xdr:row>
      <xdr:rowOff>171450</xdr:rowOff>
    </xdr:to>
    <xdr:sp macro="" textlink="">
      <xdr:nvSpPr>
        <xdr:cNvPr id="31" name="AutoShape 34">
          <a:extLst>
            <a:ext uri="{FF2B5EF4-FFF2-40B4-BE49-F238E27FC236}">
              <a16:creationId xmlns:a16="http://schemas.microsoft.com/office/drawing/2014/main" id="{3613CA25-4A43-4928-82C8-65ED0435DBC1}"/>
            </a:ext>
          </a:extLst>
        </xdr:cNvPr>
        <xdr:cNvSpPr/>
      </xdr:nvSpPr>
      <xdr:spPr>
        <a:xfrm rot="10800000">
          <a:off x="11591925" y="1114425"/>
          <a:ext cx="171450" cy="9525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35</xdr:col>
      <xdr:colOff>95250</xdr:colOff>
      <xdr:row>4</xdr:row>
      <xdr:rowOff>76200</xdr:rowOff>
    </xdr:from>
    <xdr:to>
      <xdr:col>36</xdr:col>
      <xdr:colOff>66675</xdr:colOff>
      <xdr:row>5</xdr:row>
      <xdr:rowOff>171450</xdr:rowOff>
    </xdr:to>
    <xdr:sp macro="" textlink="">
      <xdr:nvSpPr>
        <xdr:cNvPr id="32" name="AutoShape 35">
          <a:extLst>
            <a:ext uri="{FF2B5EF4-FFF2-40B4-BE49-F238E27FC236}">
              <a16:creationId xmlns:a16="http://schemas.microsoft.com/office/drawing/2014/main" id="{8C722A5C-5366-44C9-8693-236E2F0C3136}"/>
            </a:ext>
          </a:extLst>
        </xdr:cNvPr>
        <xdr:cNvSpPr/>
      </xdr:nvSpPr>
      <xdr:spPr>
        <a:xfrm rot="10800000">
          <a:off x="9991725" y="1114425"/>
          <a:ext cx="171450" cy="371475"/>
        </a:xfrm>
        <a:prstGeom prst="upArrow">
          <a:avLst>
            <a:gd name="adj1" fmla="val 46666"/>
            <a:gd name="adj2" fmla="val 6009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33</xdr:col>
      <xdr:colOff>95250</xdr:colOff>
      <xdr:row>4</xdr:row>
      <xdr:rowOff>76200</xdr:rowOff>
    </xdr:from>
    <xdr:to>
      <xdr:col>34</xdr:col>
      <xdr:colOff>66675</xdr:colOff>
      <xdr:row>6</xdr:row>
      <xdr:rowOff>171450</xdr:rowOff>
    </xdr:to>
    <xdr:sp macro="" textlink="">
      <xdr:nvSpPr>
        <xdr:cNvPr id="33" name="AutoShape 36">
          <a:extLst>
            <a:ext uri="{FF2B5EF4-FFF2-40B4-BE49-F238E27FC236}">
              <a16:creationId xmlns:a16="http://schemas.microsoft.com/office/drawing/2014/main" id="{EA8AC5AB-08A1-4CAB-9CEB-93BBD7A8363F}"/>
            </a:ext>
          </a:extLst>
        </xdr:cNvPr>
        <xdr:cNvSpPr/>
      </xdr:nvSpPr>
      <xdr:spPr>
        <a:xfrm rot="10800000">
          <a:off x="9591675" y="1114425"/>
          <a:ext cx="171450" cy="647700"/>
        </a:xfrm>
        <a:prstGeom prst="upArrow">
          <a:avLst>
            <a:gd name="adj1" fmla="val 46666"/>
            <a:gd name="adj2" fmla="val 7332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31</xdr:col>
      <xdr:colOff>95250</xdr:colOff>
      <xdr:row>4</xdr:row>
      <xdr:rowOff>76200</xdr:rowOff>
    </xdr:from>
    <xdr:to>
      <xdr:col>32</xdr:col>
      <xdr:colOff>66675</xdr:colOff>
      <xdr:row>7</xdr:row>
      <xdr:rowOff>171450</xdr:rowOff>
    </xdr:to>
    <xdr:sp macro="" textlink="">
      <xdr:nvSpPr>
        <xdr:cNvPr id="34" name="AutoShape 37">
          <a:extLst>
            <a:ext uri="{FF2B5EF4-FFF2-40B4-BE49-F238E27FC236}">
              <a16:creationId xmlns:a16="http://schemas.microsoft.com/office/drawing/2014/main" id="{2E79CDE0-083F-4D93-964C-0CAB8570E6D0}"/>
            </a:ext>
          </a:extLst>
        </xdr:cNvPr>
        <xdr:cNvSpPr/>
      </xdr:nvSpPr>
      <xdr:spPr>
        <a:xfrm rot="10800000">
          <a:off x="9191625" y="1114425"/>
          <a:ext cx="171450" cy="923925"/>
        </a:xfrm>
        <a:prstGeom prst="upArrow">
          <a:avLst>
            <a:gd name="adj1" fmla="val 46666"/>
            <a:gd name="adj2" fmla="val 9338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29</xdr:col>
      <xdr:colOff>95250</xdr:colOff>
      <xdr:row>4</xdr:row>
      <xdr:rowOff>76200</xdr:rowOff>
    </xdr:from>
    <xdr:to>
      <xdr:col>30</xdr:col>
      <xdr:colOff>66675</xdr:colOff>
      <xdr:row>8</xdr:row>
      <xdr:rowOff>171450</xdr:rowOff>
    </xdr:to>
    <xdr:sp macro="" textlink="">
      <xdr:nvSpPr>
        <xdr:cNvPr id="35" name="AutoShape 38">
          <a:extLst>
            <a:ext uri="{FF2B5EF4-FFF2-40B4-BE49-F238E27FC236}">
              <a16:creationId xmlns:a16="http://schemas.microsoft.com/office/drawing/2014/main" id="{20C690D5-A6FC-4E7D-9616-EFDA807480FE}"/>
            </a:ext>
          </a:extLst>
        </xdr:cNvPr>
        <xdr:cNvSpPr/>
      </xdr:nvSpPr>
      <xdr:spPr>
        <a:xfrm rot="10800000">
          <a:off x="8791575" y="1114425"/>
          <a:ext cx="171450" cy="1200150"/>
        </a:xfrm>
        <a:prstGeom prst="upArrow">
          <a:avLst>
            <a:gd name="adj1" fmla="val 46666"/>
            <a:gd name="adj2" fmla="val 8664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27</xdr:col>
      <xdr:colOff>95250</xdr:colOff>
      <xdr:row>4</xdr:row>
      <xdr:rowOff>76200</xdr:rowOff>
    </xdr:from>
    <xdr:to>
      <xdr:col>28</xdr:col>
      <xdr:colOff>66675</xdr:colOff>
      <xdr:row>9</xdr:row>
      <xdr:rowOff>171450</xdr:rowOff>
    </xdr:to>
    <xdr:sp macro="" textlink="">
      <xdr:nvSpPr>
        <xdr:cNvPr id="36" name="AutoShape 39">
          <a:extLst>
            <a:ext uri="{FF2B5EF4-FFF2-40B4-BE49-F238E27FC236}">
              <a16:creationId xmlns:a16="http://schemas.microsoft.com/office/drawing/2014/main" id="{02FB2929-4678-4A47-982A-87ED52C17585}"/>
            </a:ext>
          </a:extLst>
        </xdr:cNvPr>
        <xdr:cNvSpPr/>
      </xdr:nvSpPr>
      <xdr:spPr>
        <a:xfrm rot="10800000">
          <a:off x="8391525" y="1114425"/>
          <a:ext cx="171450" cy="1476375"/>
        </a:xfrm>
        <a:prstGeom prst="upArrow">
          <a:avLst>
            <a:gd name="adj1" fmla="val 46666"/>
            <a:gd name="adj2" fmla="val 8669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25</xdr:col>
      <xdr:colOff>95250</xdr:colOff>
      <xdr:row>4</xdr:row>
      <xdr:rowOff>76200</xdr:rowOff>
    </xdr:from>
    <xdr:to>
      <xdr:col>26</xdr:col>
      <xdr:colOff>66675</xdr:colOff>
      <xdr:row>10</xdr:row>
      <xdr:rowOff>171450</xdr:rowOff>
    </xdr:to>
    <xdr:sp macro="" textlink="">
      <xdr:nvSpPr>
        <xdr:cNvPr id="37" name="AutoShape 40">
          <a:extLst>
            <a:ext uri="{FF2B5EF4-FFF2-40B4-BE49-F238E27FC236}">
              <a16:creationId xmlns:a16="http://schemas.microsoft.com/office/drawing/2014/main" id="{12C1D799-60DB-4DF1-8DF8-6542748951B4}"/>
            </a:ext>
          </a:extLst>
        </xdr:cNvPr>
        <xdr:cNvSpPr/>
      </xdr:nvSpPr>
      <xdr:spPr>
        <a:xfrm rot="10800000">
          <a:off x="7991475" y="1114425"/>
          <a:ext cx="171450" cy="1752600"/>
        </a:xfrm>
        <a:prstGeom prst="upArrow">
          <a:avLst>
            <a:gd name="adj1" fmla="val 46666"/>
            <a:gd name="adj2" fmla="val 9328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23</xdr:col>
      <xdr:colOff>95250</xdr:colOff>
      <xdr:row>4</xdr:row>
      <xdr:rowOff>76200</xdr:rowOff>
    </xdr:from>
    <xdr:to>
      <xdr:col>24</xdr:col>
      <xdr:colOff>66675</xdr:colOff>
      <xdr:row>11</xdr:row>
      <xdr:rowOff>171450</xdr:rowOff>
    </xdr:to>
    <xdr:sp macro="" textlink="">
      <xdr:nvSpPr>
        <xdr:cNvPr id="38" name="AutoShape 41">
          <a:extLst>
            <a:ext uri="{FF2B5EF4-FFF2-40B4-BE49-F238E27FC236}">
              <a16:creationId xmlns:a16="http://schemas.microsoft.com/office/drawing/2014/main" id="{B00FBF34-E7D9-4F19-B035-197A5FE06838}"/>
            </a:ext>
          </a:extLst>
        </xdr:cNvPr>
        <xdr:cNvSpPr/>
      </xdr:nvSpPr>
      <xdr:spPr>
        <a:xfrm rot="10800000">
          <a:off x="7591425" y="1114425"/>
          <a:ext cx="171450" cy="2028825"/>
        </a:xfrm>
        <a:prstGeom prst="upArrow">
          <a:avLst>
            <a:gd name="adj1" fmla="val 46666"/>
            <a:gd name="adj2" fmla="val 7993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21</xdr:col>
      <xdr:colOff>95250</xdr:colOff>
      <xdr:row>4</xdr:row>
      <xdr:rowOff>76200</xdr:rowOff>
    </xdr:from>
    <xdr:to>
      <xdr:col>22</xdr:col>
      <xdr:colOff>66675</xdr:colOff>
      <xdr:row>12</xdr:row>
      <xdr:rowOff>171450</xdr:rowOff>
    </xdr:to>
    <xdr:sp macro="" textlink="">
      <xdr:nvSpPr>
        <xdr:cNvPr id="39" name="AutoShape 42">
          <a:extLst>
            <a:ext uri="{FF2B5EF4-FFF2-40B4-BE49-F238E27FC236}">
              <a16:creationId xmlns:a16="http://schemas.microsoft.com/office/drawing/2014/main" id="{F113521D-93EC-4B4F-8974-44C45701F5B5}"/>
            </a:ext>
          </a:extLst>
        </xdr:cNvPr>
        <xdr:cNvSpPr/>
      </xdr:nvSpPr>
      <xdr:spPr>
        <a:xfrm rot="10800000">
          <a:off x="7191375" y="1114425"/>
          <a:ext cx="171450" cy="2305050"/>
        </a:xfrm>
        <a:prstGeom prst="upArrow">
          <a:avLst>
            <a:gd name="adj1" fmla="val 46666"/>
            <a:gd name="adj2" fmla="val 7993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95250</xdr:colOff>
      <xdr:row>4</xdr:row>
      <xdr:rowOff>76200</xdr:rowOff>
    </xdr:from>
    <xdr:to>
      <xdr:col>12</xdr:col>
      <xdr:colOff>66675</xdr:colOff>
      <xdr:row>17</xdr:row>
      <xdr:rowOff>171450</xdr:rowOff>
    </xdr:to>
    <xdr:sp macro="" textlink="">
      <xdr:nvSpPr>
        <xdr:cNvPr id="40" name="AutoShape 43">
          <a:extLst>
            <a:ext uri="{FF2B5EF4-FFF2-40B4-BE49-F238E27FC236}">
              <a16:creationId xmlns:a16="http://schemas.microsoft.com/office/drawing/2014/main" id="{AF7C6002-7245-4024-8738-21E7176B551A}"/>
            </a:ext>
          </a:extLst>
        </xdr:cNvPr>
        <xdr:cNvSpPr/>
      </xdr:nvSpPr>
      <xdr:spPr>
        <a:xfrm rot="10800000">
          <a:off x="5191125" y="1114425"/>
          <a:ext cx="171450" cy="3686175"/>
        </a:xfrm>
        <a:prstGeom prst="upArrow">
          <a:avLst>
            <a:gd name="adj1" fmla="val 46666"/>
            <a:gd name="adj2" fmla="val 7329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13</xdr:col>
      <xdr:colOff>95250</xdr:colOff>
      <xdr:row>4</xdr:row>
      <xdr:rowOff>76200</xdr:rowOff>
    </xdr:from>
    <xdr:to>
      <xdr:col>14</xdr:col>
      <xdr:colOff>66675</xdr:colOff>
      <xdr:row>16</xdr:row>
      <xdr:rowOff>171450</xdr:rowOff>
    </xdr:to>
    <xdr:sp macro="" textlink="">
      <xdr:nvSpPr>
        <xdr:cNvPr id="41" name="AutoShape 44">
          <a:extLst>
            <a:ext uri="{FF2B5EF4-FFF2-40B4-BE49-F238E27FC236}">
              <a16:creationId xmlns:a16="http://schemas.microsoft.com/office/drawing/2014/main" id="{359C0D4C-27A4-46DE-B6F6-2377F2879E6B}"/>
            </a:ext>
          </a:extLst>
        </xdr:cNvPr>
        <xdr:cNvSpPr/>
      </xdr:nvSpPr>
      <xdr:spPr>
        <a:xfrm rot="10800000">
          <a:off x="5591175" y="1114425"/>
          <a:ext cx="171450" cy="3409950"/>
        </a:xfrm>
        <a:prstGeom prst="upArrow">
          <a:avLst>
            <a:gd name="adj1" fmla="val 46666"/>
            <a:gd name="adj2" fmla="val 8660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15</xdr:col>
      <xdr:colOff>95250</xdr:colOff>
      <xdr:row>4</xdr:row>
      <xdr:rowOff>76200</xdr:rowOff>
    </xdr:from>
    <xdr:to>
      <xdr:col>16</xdr:col>
      <xdr:colOff>66675</xdr:colOff>
      <xdr:row>15</xdr:row>
      <xdr:rowOff>171450</xdr:rowOff>
    </xdr:to>
    <xdr:sp macro="" textlink="">
      <xdr:nvSpPr>
        <xdr:cNvPr id="42" name="AutoShape 45">
          <a:extLst>
            <a:ext uri="{FF2B5EF4-FFF2-40B4-BE49-F238E27FC236}">
              <a16:creationId xmlns:a16="http://schemas.microsoft.com/office/drawing/2014/main" id="{5FA73272-C0FB-4606-B359-D67F7EAD424F}"/>
            </a:ext>
          </a:extLst>
        </xdr:cNvPr>
        <xdr:cNvSpPr/>
      </xdr:nvSpPr>
      <xdr:spPr>
        <a:xfrm rot="10800000">
          <a:off x="5991225" y="1114425"/>
          <a:ext cx="171450" cy="3133725"/>
        </a:xfrm>
        <a:prstGeom prst="upArrow">
          <a:avLst>
            <a:gd name="adj1" fmla="val 46666"/>
            <a:gd name="adj2" fmla="val 8660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17</xdr:col>
      <xdr:colOff>95250</xdr:colOff>
      <xdr:row>4</xdr:row>
      <xdr:rowOff>76200</xdr:rowOff>
    </xdr:from>
    <xdr:to>
      <xdr:col>18</xdr:col>
      <xdr:colOff>66675</xdr:colOff>
      <xdr:row>14</xdr:row>
      <xdr:rowOff>171450</xdr:rowOff>
    </xdr:to>
    <xdr:sp macro="" textlink="">
      <xdr:nvSpPr>
        <xdr:cNvPr id="43" name="AutoShape 46">
          <a:extLst>
            <a:ext uri="{FF2B5EF4-FFF2-40B4-BE49-F238E27FC236}">
              <a16:creationId xmlns:a16="http://schemas.microsoft.com/office/drawing/2014/main" id="{4580BC3C-D04A-4468-83AD-D6C96D3F1139}"/>
            </a:ext>
          </a:extLst>
        </xdr:cNvPr>
        <xdr:cNvSpPr/>
      </xdr:nvSpPr>
      <xdr:spPr>
        <a:xfrm rot="10800000">
          <a:off x="6391275" y="1114425"/>
          <a:ext cx="171450" cy="2857500"/>
        </a:xfrm>
        <a:prstGeom prst="upArrow">
          <a:avLst>
            <a:gd name="adj1" fmla="val 46666"/>
            <a:gd name="adj2" fmla="val 10072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19</xdr:col>
      <xdr:colOff>95250</xdr:colOff>
      <xdr:row>4</xdr:row>
      <xdr:rowOff>76200</xdr:rowOff>
    </xdr:from>
    <xdr:to>
      <xdr:col>20</xdr:col>
      <xdr:colOff>66675</xdr:colOff>
      <xdr:row>13</xdr:row>
      <xdr:rowOff>171450</xdr:rowOff>
    </xdr:to>
    <xdr:sp macro="" textlink="">
      <xdr:nvSpPr>
        <xdr:cNvPr id="44" name="AutoShape 47">
          <a:extLst>
            <a:ext uri="{FF2B5EF4-FFF2-40B4-BE49-F238E27FC236}">
              <a16:creationId xmlns:a16="http://schemas.microsoft.com/office/drawing/2014/main" id="{632DAC98-CAEA-41B4-B1FE-EB08BA5176F4}"/>
            </a:ext>
          </a:extLst>
        </xdr:cNvPr>
        <xdr:cNvSpPr/>
      </xdr:nvSpPr>
      <xdr:spPr>
        <a:xfrm rot="10800000">
          <a:off x="6791325" y="1114425"/>
          <a:ext cx="171450" cy="2581275"/>
        </a:xfrm>
        <a:prstGeom prst="upArrow">
          <a:avLst>
            <a:gd name="adj1" fmla="val 46666"/>
            <a:gd name="adj2" fmla="val 8667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95250</xdr:colOff>
      <xdr:row>19</xdr:row>
      <xdr:rowOff>66040</xdr:rowOff>
    </xdr:from>
    <xdr:to>
      <xdr:col>12</xdr:col>
      <xdr:colOff>66675</xdr:colOff>
      <xdr:row>19</xdr:row>
      <xdr:rowOff>171450</xdr:rowOff>
    </xdr:to>
    <xdr:sp macro="" textlink="">
      <xdr:nvSpPr>
        <xdr:cNvPr id="45" name="AutoShape 48">
          <a:extLst>
            <a:ext uri="{FF2B5EF4-FFF2-40B4-BE49-F238E27FC236}">
              <a16:creationId xmlns:a16="http://schemas.microsoft.com/office/drawing/2014/main" id="{5E834EEB-FB18-4CA5-A32A-7F26E7FBB680}"/>
            </a:ext>
          </a:extLst>
        </xdr:cNvPr>
        <xdr:cNvSpPr/>
      </xdr:nvSpPr>
      <xdr:spPr>
        <a:xfrm>
          <a:off x="5191125" y="5247640"/>
          <a:ext cx="171450" cy="10541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33</xdr:col>
      <xdr:colOff>95250</xdr:colOff>
      <xdr:row>18</xdr:row>
      <xdr:rowOff>76200</xdr:rowOff>
    </xdr:from>
    <xdr:to>
      <xdr:col>34</xdr:col>
      <xdr:colOff>66675</xdr:colOff>
      <xdr:row>19</xdr:row>
      <xdr:rowOff>171450</xdr:rowOff>
    </xdr:to>
    <xdr:sp macro="" textlink="">
      <xdr:nvSpPr>
        <xdr:cNvPr id="46" name="AutoShape 49">
          <a:extLst>
            <a:ext uri="{FF2B5EF4-FFF2-40B4-BE49-F238E27FC236}">
              <a16:creationId xmlns:a16="http://schemas.microsoft.com/office/drawing/2014/main" id="{3DE71486-0439-41EA-90DB-C77B7091D5B3}"/>
            </a:ext>
          </a:extLst>
        </xdr:cNvPr>
        <xdr:cNvSpPr/>
      </xdr:nvSpPr>
      <xdr:spPr>
        <a:xfrm>
          <a:off x="9591675" y="4981575"/>
          <a:ext cx="171450" cy="371475"/>
        </a:xfrm>
        <a:prstGeom prst="upArrow">
          <a:avLst>
            <a:gd name="adj1" fmla="val 46666"/>
            <a:gd name="adj2" fmla="val 6009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35</xdr:col>
      <xdr:colOff>95250</xdr:colOff>
      <xdr:row>17</xdr:row>
      <xdr:rowOff>76200</xdr:rowOff>
    </xdr:from>
    <xdr:to>
      <xdr:col>36</xdr:col>
      <xdr:colOff>66675</xdr:colOff>
      <xdr:row>19</xdr:row>
      <xdr:rowOff>171450</xdr:rowOff>
    </xdr:to>
    <xdr:sp macro="" textlink="">
      <xdr:nvSpPr>
        <xdr:cNvPr id="47" name="AutoShape 50">
          <a:extLst>
            <a:ext uri="{FF2B5EF4-FFF2-40B4-BE49-F238E27FC236}">
              <a16:creationId xmlns:a16="http://schemas.microsoft.com/office/drawing/2014/main" id="{D10FE34A-36D5-4F95-871D-B45DBB68A96C}"/>
            </a:ext>
          </a:extLst>
        </xdr:cNvPr>
        <xdr:cNvSpPr/>
      </xdr:nvSpPr>
      <xdr:spPr>
        <a:xfrm>
          <a:off x="9991725" y="4705350"/>
          <a:ext cx="171450" cy="647700"/>
        </a:xfrm>
        <a:prstGeom prst="upArrow">
          <a:avLst>
            <a:gd name="adj1" fmla="val 46666"/>
            <a:gd name="adj2" fmla="val 7332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37</xdr:col>
      <xdr:colOff>95250</xdr:colOff>
      <xdr:row>16</xdr:row>
      <xdr:rowOff>76200</xdr:rowOff>
    </xdr:from>
    <xdr:to>
      <xdr:col>38</xdr:col>
      <xdr:colOff>66675</xdr:colOff>
      <xdr:row>19</xdr:row>
      <xdr:rowOff>171450</xdr:rowOff>
    </xdr:to>
    <xdr:sp macro="" textlink="">
      <xdr:nvSpPr>
        <xdr:cNvPr id="48" name="AutoShape 64">
          <a:extLst>
            <a:ext uri="{FF2B5EF4-FFF2-40B4-BE49-F238E27FC236}">
              <a16:creationId xmlns:a16="http://schemas.microsoft.com/office/drawing/2014/main" id="{9F1FC0E6-0BB6-4669-B795-97CEFB5E020F}"/>
            </a:ext>
          </a:extLst>
        </xdr:cNvPr>
        <xdr:cNvSpPr/>
      </xdr:nvSpPr>
      <xdr:spPr>
        <a:xfrm>
          <a:off x="10391775" y="4429125"/>
          <a:ext cx="171450" cy="923925"/>
        </a:xfrm>
        <a:prstGeom prst="upArrow">
          <a:avLst>
            <a:gd name="adj1" fmla="val 46666"/>
            <a:gd name="adj2" fmla="val 9338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39</xdr:col>
      <xdr:colOff>95250</xdr:colOff>
      <xdr:row>15</xdr:row>
      <xdr:rowOff>76200</xdr:rowOff>
    </xdr:from>
    <xdr:to>
      <xdr:col>40</xdr:col>
      <xdr:colOff>66675</xdr:colOff>
      <xdr:row>19</xdr:row>
      <xdr:rowOff>171450</xdr:rowOff>
    </xdr:to>
    <xdr:sp macro="" textlink="">
      <xdr:nvSpPr>
        <xdr:cNvPr id="49" name="AutoShape 65">
          <a:extLst>
            <a:ext uri="{FF2B5EF4-FFF2-40B4-BE49-F238E27FC236}">
              <a16:creationId xmlns:a16="http://schemas.microsoft.com/office/drawing/2014/main" id="{2521F355-701B-4402-B3FD-8A9FE32C9EB1}"/>
            </a:ext>
          </a:extLst>
        </xdr:cNvPr>
        <xdr:cNvSpPr/>
      </xdr:nvSpPr>
      <xdr:spPr>
        <a:xfrm>
          <a:off x="10791825" y="4152900"/>
          <a:ext cx="171450" cy="1200150"/>
        </a:xfrm>
        <a:prstGeom prst="upArrow">
          <a:avLst>
            <a:gd name="adj1" fmla="val 46666"/>
            <a:gd name="adj2" fmla="val 8664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41</xdr:col>
      <xdr:colOff>95250</xdr:colOff>
      <xdr:row>14</xdr:row>
      <xdr:rowOff>76200</xdr:rowOff>
    </xdr:from>
    <xdr:to>
      <xdr:col>42</xdr:col>
      <xdr:colOff>66675</xdr:colOff>
      <xdr:row>19</xdr:row>
      <xdr:rowOff>171450</xdr:rowOff>
    </xdr:to>
    <xdr:sp macro="" textlink="">
      <xdr:nvSpPr>
        <xdr:cNvPr id="50" name="AutoShape 67">
          <a:extLst>
            <a:ext uri="{FF2B5EF4-FFF2-40B4-BE49-F238E27FC236}">
              <a16:creationId xmlns:a16="http://schemas.microsoft.com/office/drawing/2014/main" id="{DFB53316-1CA3-44D6-AA5C-71E718A3EF7F}"/>
            </a:ext>
          </a:extLst>
        </xdr:cNvPr>
        <xdr:cNvSpPr/>
      </xdr:nvSpPr>
      <xdr:spPr>
        <a:xfrm>
          <a:off x="11191875" y="3876675"/>
          <a:ext cx="171450" cy="1476375"/>
        </a:xfrm>
        <a:prstGeom prst="upArrow">
          <a:avLst>
            <a:gd name="adj1" fmla="val 46666"/>
            <a:gd name="adj2" fmla="val 8669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43</xdr:col>
      <xdr:colOff>95250</xdr:colOff>
      <xdr:row>13</xdr:row>
      <xdr:rowOff>76200</xdr:rowOff>
    </xdr:from>
    <xdr:to>
      <xdr:col>44</xdr:col>
      <xdr:colOff>66675</xdr:colOff>
      <xdr:row>19</xdr:row>
      <xdr:rowOff>171450</xdr:rowOff>
    </xdr:to>
    <xdr:sp macro="" textlink="">
      <xdr:nvSpPr>
        <xdr:cNvPr id="51" name="AutoShape 68">
          <a:extLst>
            <a:ext uri="{FF2B5EF4-FFF2-40B4-BE49-F238E27FC236}">
              <a16:creationId xmlns:a16="http://schemas.microsoft.com/office/drawing/2014/main" id="{1F9E1005-02BD-41E8-AF34-8684D507E665}"/>
            </a:ext>
          </a:extLst>
        </xdr:cNvPr>
        <xdr:cNvSpPr/>
      </xdr:nvSpPr>
      <xdr:spPr>
        <a:xfrm>
          <a:off x="11591925" y="3600450"/>
          <a:ext cx="171450" cy="1752600"/>
        </a:xfrm>
        <a:prstGeom prst="upArrow">
          <a:avLst>
            <a:gd name="adj1" fmla="val 46666"/>
            <a:gd name="adj2" fmla="val 9328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45</xdr:col>
      <xdr:colOff>95250</xdr:colOff>
      <xdr:row>12</xdr:row>
      <xdr:rowOff>76200</xdr:rowOff>
    </xdr:from>
    <xdr:to>
      <xdr:col>46</xdr:col>
      <xdr:colOff>66675</xdr:colOff>
      <xdr:row>19</xdr:row>
      <xdr:rowOff>171450</xdr:rowOff>
    </xdr:to>
    <xdr:sp macro="" textlink="">
      <xdr:nvSpPr>
        <xdr:cNvPr id="52" name="AutoShape 69">
          <a:extLst>
            <a:ext uri="{FF2B5EF4-FFF2-40B4-BE49-F238E27FC236}">
              <a16:creationId xmlns:a16="http://schemas.microsoft.com/office/drawing/2014/main" id="{26449D50-48E6-4D1D-85CA-5BDB05C4CBDC}"/>
            </a:ext>
          </a:extLst>
        </xdr:cNvPr>
        <xdr:cNvSpPr/>
      </xdr:nvSpPr>
      <xdr:spPr>
        <a:xfrm>
          <a:off x="11991975" y="3324225"/>
          <a:ext cx="171450" cy="2028825"/>
        </a:xfrm>
        <a:prstGeom prst="upArrow">
          <a:avLst>
            <a:gd name="adj1" fmla="val 46666"/>
            <a:gd name="adj2" fmla="val 7993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47</xdr:col>
      <xdr:colOff>95250</xdr:colOff>
      <xdr:row>11</xdr:row>
      <xdr:rowOff>76200</xdr:rowOff>
    </xdr:from>
    <xdr:to>
      <xdr:col>48</xdr:col>
      <xdr:colOff>66675</xdr:colOff>
      <xdr:row>19</xdr:row>
      <xdr:rowOff>171450</xdr:rowOff>
    </xdr:to>
    <xdr:sp macro="" textlink="">
      <xdr:nvSpPr>
        <xdr:cNvPr id="53" name="AutoShape 70">
          <a:extLst>
            <a:ext uri="{FF2B5EF4-FFF2-40B4-BE49-F238E27FC236}">
              <a16:creationId xmlns:a16="http://schemas.microsoft.com/office/drawing/2014/main" id="{BB771A23-3BB0-4495-85D7-AECCAE3D7E8D}"/>
            </a:ext>
          </a:extLst>
        </xdr:cNvPr>
        <xdr:cNvSpPr/>
      </xdr:nvSpPr>
      <xdr:spPr>
        <a:xfrm>
          <a:off x="12392025" y="3048000"/>
          <a:ext cx="171450" cy="2305050"/>
        </a:xfrm>
        <a:prstGeom prst="upArrow">
          <a:avLst>
            <a:gd name="adj1" fmla="val 46666"/>
            <a:gd name="adj2" fmla="val 7993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49</xdr:col>
      <xdr:colOff>95250</xdr:colOff>
      <xdr:row>10</xdr:row>
      <xdr:rowOff>76200</xdr:rowOff>
    </xdr:from>
    <xdr:to>
      <xdr:col>50</xdr:col>
      <xdr:colOff>66675</xdr:colOff>
      <xdr:row>19</xdr:row>
      <xdr:rowOff>171450</xdr:rowOff>
    </xdr:to>
    <xdr:sp macro="" textlink="">
      <xdr:nvSpPr>
        <xdr:cNvPr id="54" name="AutoShape 72">
          <a:extLst>
            <a:ext uri="{FF2B5EF4-FFF2-40B4-BE49-F238E27FC236}">
              <a16:creationId xmlns:a16="http://schemas.microsoft.com/office/drawing/2014/main" id="{6AD4404E-667F-4AE2-BF21-ACF474123606}"/>
            </a:ext>
          </a:extLst>
        </xdr:cNvPr>
        <xdr:cNvSpPr/>
      </xdr:nvSpPr>
      <xdr:spPr>
        <a:xfrm>
          <a:off x="12792075" y="2771775"/>
          <a:ext cx="171450" cy="2581275"/>
        </a:xfrm>
        <a:prstGeom prst="upArrow">
          <a:avLst>
            <a:gd name="adj1" fmla="val 46666"/>
            <a:gd name="adj2" fmla="val 8667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51</xdr:col>
      <xdr:colOff>95250</xdr:colOff>
      <xdr:row>9</xdr:row>
      <xdr:rowOff>76200</xdr:rowOff>
    </xdr:from>
    <xdr:to>
      <xdr:col>52</xdr:col>
      <xdr:colOff>66675</xdr:colOff>
      <xdr:row>19</xdr:row>
      <xdr:rowOff>171450</xdr:rowOff>
    </xdr:to>
    <xdr:sp macro="" textlink="">
      <xdr:nvSpPr>
        <xdr:cNvPr id="55" name="AutoShape 73">
          <a:extLst>
            <a:ext uri="{FF2B5EF4-FFF2-40B4-BE49-F238E27FC236}">
              <a16:creationId xmlns:a16="http://schemas.microsoft.com/office/drawing/2014/main" id="{E7A754C0-40B0-41D2-8A12-EC5666D88866}"/>
            </a:ext>
          </a:extLst>
        </xdr:cNvPr>
        <xdr:cNvSpPr/>
      </xdr:nvSpPr>
      <xdr:spPr>
        <a:xfrm>
          <a:off x="13192125" y="2495550"/>
          <a:ext cx="171450" cy="2857500"/>
        </a:xfrm>
        <a:prstGeom prst="upArrow">
          <a:avLst>
            <a:gd name="adj1" fmla="val 46666"/>
            <a:gd name="adj2" fmla="val 10072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53</xdr:col>
      <xdr:colOff>95250</xdr:colOff>
      <xdr:row>9</xdr:row>
      <xdr:rowOff>76200</xdr:rowOff>
    </xdr:from>
    <xdr:to>
      <xdr:col>54</xdr:col>
      <xdr:colOff>66675</xdr:colOff>
      <xdr:row>19</xdr:row>
      <xdr:rowOff>171450</xdr:rowOff>
    </xdr:to>
    <xdr:sp macro="" textlink="">
      <xdr:nvSpPr>
        <xdr:cNvPr id="56" name="AutoShape 75">
          <a:extLst>
            <a:ext uri="{FF2B5EF4-FFF2-40B4-BE49-F238E27FC236}">
              <a16:creationId xmlns:a16="http://schemas.microsoft.com/office/drawing/2014/main" id="{45BE32EF-6565-4F19-8DAB-F299F84635D5}"/>
            </a:ext>
          </a:extLst>
        </xdr:cNvPr>
        <xdr:cNvSpPr/>
      </xdr:nvSpPr>
      <xdr:spPr>
        <a:xfrm>
          <a:off x="13592175" y="2495550"/>
          <a:ext cx="171450" cy="2857500"/>
        </a:xfrm>
        <a:prstGeom prst="upArrow">
          <a:avLst>
            <a:gd name="adj1" fmla="val 46666"/>
            <a:gd name="adj2" fmla="val 10072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55</xdr:col>
      <xdr:colOff>95250</xdr:colOff>
      <xdr:row>9</xdr:row>
      <xdr:rowOff>76200</xdr:rowOff>
    </xdr:from>
    <xdr:to>
      <xdr:col>56</xdr:col>
      <xdr:colOff>66675</xdr:colOff>
      <xdr:row>19</xdr:row>
      <xdr:rowOff>171450</xdr:rowOff>
    </xdr:to>
    <xdr:sp macro="" textlink="">
      <xdr:nvSpPr>
        <xdr:cNvPr id="57" name="AutoShape 76">
          <a:extLst>
            <a:ext uri="{FF2B5EF4-FFF2-40B4-BE49-F238E27FC236}">
              <a16:creationId xmlns:a16="http://schemas.microsoft.com/office/drawing/2014/main" id="{28478982-AA58-43F2-9841-1DC40AAE46D8}"/>
            </a:ext>
          </a:extLst>
        </xdr:cNvPr>
        <xdr:cNvSpPr/>
      </xdr:nvSpPr>
      <xdr:spPr>
        <a:xfrm>
          <a:off x="13992225" y="2495550"/>
          <a:ext cx="171450" cy="2857500"/>
        </a:xfrm>
        <a:prstGeom prst="upArrow">
          <a:avLst>
            <a:gd name="adj1" fmla="val 46666"/>
            <a:gd name="adj2" fmla="val 10072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57</xdr:col>
      <xdr:colOff>95250</xdr:colOff>
      <xdr:row>8</xdr:row>
      <xdr:rowOff>76200</xdr:rowOff>
    </xdr:from>
    <xdr:to>
      <xdr:col>58</xdr:col>
      <xdr:colOff>66675</xdr:colOff>
      <xdr:row>19</xdr:row>
      <xdr:rowOff>171450</xdr:rowOff>
    </xdr:to>
    <xdr:sp macro="" textlink="">
      <xdr:nvSpPr>
        <xdr:cNvPr id="58" name="AutoShape 78">
          <a:extLst>
            <a:ext uri="{FF2B5EF4-FFF2-40B4-BE49-F238E27FC236}">
              <a16:creationId xmlns:a16="http://schemas.microsoft.com/office/drawing/2014/main" id="{3866F6EE-C831-4CA5-8FC3-3B83E61D81DB}"/>
            </a:ext>
          </a:extLst>
        </xdr:cNvPr>
        <xdr:cNvSpPr/>
      </xdr:nvSpPr>
      <xdr:spPr>
        <a:xfrm>
          <a:off x="14392275" y="2219325"/>
          <a:ext cx="171450" cy="3133725"/>
        </a:xfrm>
        <a:prstGeom prst="upArrow">
          <a:avLst>
            <a:gd name="adj1" fmla="val 46666"/>
            <a:gd name="adj2" fmla="val 8660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59</xdr:col>
      <xdr:colOff>95250</xdr:colOff>
      <xdr:row>7</xdr:row>
      <xdr:rowOff>76200</xdr:rowOff>
    </xdr:from>
    <xdr:to>
      <xdr:col>60</xdr:col>
      <xdr:colOff>66675</xdr:colOff>
      <xdr:row>19</xdr:row>
      <xdr:rowOff>171450</xdr:rowOff>
    </xdr:to>
    <xdr:sp macro="" textlink="">
      <xdr:nvSpPr>
        <xdr:cNvPr id="59" name="AutoShape 79">
          <a:extLst>
            <a:ext uri="{FF2B5EF4-FFF2-40B4-BE49-F238E27FC236}">
              <a16:creationId xmlns:a16="http://schemas.microsoft.com/office/drawing/2014/main" id="{02E9DDA5-2F9B-41D7-B64C-CA7DD16EB059}"/>
            </a:ext>
          </a:extLst>
        </xdr:cNvPr>
        <xdr:cNvSpPr/>
      </xdr:nvSpPr>
      <xdr:spPr>
        <a:xfrm>
          <a:off x="14792325" y="1943100"/>
          <a:ext cx="171450" cy="3409950"/>
        </a:xfrm>
        <a:prstGeom prst="upArrow">
          <a:avLst>
            <a:gd name="adj1" fmla="val 46666"/>
            <a:gd name="adj2" fmla="val 8660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61</xdr:col>
      <xdr:colOff>95250</xdr:colOff>
      <xdr:row>6</xdr:row>
      <xdr:rowOff>76200</xdr:rowOff>
    </xdr:from>
    <xdr:to>
      <xdr:col>62</xdr:col>
      <xdr:colOff>66675</xdr:colOff>
      <xdr:row>19</xdr:row>
      <xdr:rowOff>171450</xdr:rowOff>
    </xdr:to>
    <xdr:sp macro="" textlink="">
      <xdr:nvSpPr>
        <xdr:cNvPr id="60" name="AutoShape 80">
          <a:extLst>
            <a:ext uri="{FF2B5EF4-FFF2-40B4-BE49-F238E27FC236}">
              <a16:creationId xmlns:a16="http://schemas.microsoft.com/office/drawing/2014/main" id="{881664C4-CF1C-47C0-9B35-6D9B8FDD070F}"/>
            </a:ext>
          </a:extLst>
        </xdr:cNvPr>
        <xdr:cNvSpPr/>
      </xdr:nvSpPr>
      <xdr:spPr>
        <a:xfrm>
          <a:off x="15192375" y="1666875"/>
          <a:ext cx="171450" cy="3686175"/>
        </a:xfrm>
        <a:prstGeom prst="upArrow">
          <a:avLst>
            <a:gd name="adj1" fmla="val 46666"/>
            <a:gd name="adj2" fmla="val 7329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37</xdr:col>
      <xdr:colOff>95250</xdr:colOff>
      <xdr:row>4</xdr:row>
      <xdr:rowOff>76200</xdr:rowOff>
    </xdr:from>
    <xdr:to>
      <xdr:col>38</xdr:col>
      <xdr:colOff>66675</xdr:colOff>
      <xdr:row>4</xdr:row>
      <xdr:rowOff>171450</xdr:rowOff>
    </xdr:to>
    <xdr:sp macro="" textlink="">
      <xdr:nvSpPr>
        <xdr:cNvPr id="61" name="AutoShape 81">
          <a:extLst>
            <a:ext uri="{FF2B5EF4-FFF2-40B4-BE49-F238E27FC236}">
              <a16:creationId xmlns:a16="http://schemas.microsoft.com/office/drawing/2014/main" id="{FDF44C72-9E99-4CB4-803F-E7FC8A5DF544}"/>
            </a:ext>
          </a:extLst>
        </xdr:cNvPr>
        <xdr:cNvSpPr/>
      </xdr:nvSpPr>
      <xdr:spPr>
        <a:xfrm rot="10800000">
          <a:off x="10391775" y="1114425"/>
          <a:ext cx="171450" cy="9525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95250</xdr:colOff>
      <xdr:row>20</xdr:row>
      <xdr:rowOff>76200</xdr:rowOff>
    </xdr:from>
    <xdr:to>
      <xdr:col>9</xdr:col>
      <xdr:colOff>238125</xdr:colOff>
      <xdr:row>20</xdr:row>
      <xdr:rowOff>171450</xdr:rowOff>
    </xdr:to>
    <xdr:sp macro="" textlink="">
      <xdr:nvSpPr>
        <xdr:cNvPr id="62" name="AutoShape 85">
          <a:extLst>
            <a:ext uri="{FF2B5EF4-FFF2-40B4-BE49-F238E27FC236}">
              <a16:creationId xmlns:a16="http://schemas.microsoft.com/office/drawing/2014/main" id="{E4DDE951-012D-4565-96F7-20371B4425E0}"/>
            </a:ext>
          </a:extLst>
        </xdr:cNvPr>
        <xdr:cNvSpPr/>
      </xdr:nvSpPr>
      <xdr:spPr>
        <a:xfrm rot="10800000">
          <a:off x="4391025" y="5534025"/>
          <a:ext cx="142875" cy="9525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95250</xdr:colOff>
      <xdr:row>21</xdr:row>
      <xdr:rowOff>66040</xdr:rowOff>
    </xdr:from>
    <xdr:to>
      <xdr:col>9</xdr:col>
      <xdr:colOff>238125</xdr:colOff>
      <xdr:row>21</xdr:row>
      <xdr:rowOff>171450</xdr:rowOff>
    </xdr:to>
    <xdr:sp macro="" textlink="">
      <xdr:nvSpPr>
        <xdr:cNvPr id="63" name="AutoShape 86">
          <a:extLst>
            <a:ext uri="{FF2B5EF4-FFF2-40B4-BE49-F238E27FC236}">
              <a16:creationId xmlns:a16="http://schemas.microsoft.com/office/drawing/2014/main" id="{6F9B688B-DF34-414F-95F0-2B0A58DEA988}"/>
            </a:ext>
          </a:extLst>
        </xdr:cNvPr>
        <xdr:cNvSpPr/>
      </xdr:nvSpPr>
      <xdr:spPr>
        <a:xfrm>
          <a:off x="4391025" y="5771515"/>
          <a:ext cx="142875" cy="105410"/>
        </a:xfrm>
        <a:prstGeom prst="up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10</xdr:col>
      <xdr:colOff>66675</xdr:colOff>
      <xdr:row>20</xdr:row>
      <xdr:rowOff>133350</xdr:rowOff>
    </xdr:from>
    <xdr:to>
      <xdr:col>11</xdr:col>
      <xdr:colOff>104775</xdr:colOff>
      <xdr:row>20</xdr:row>
      <xdr:rowOff>133350</xdr:rowOff>
    </xdr:to>
    <xdr:sp macro="" textlink="">
      <xdr:nvSpPr>
        <xdr:cNvPr id="64" name="Line 87">
          <a:extLst>
            <a:ext uri="{FF2B5EF4-FFF2-40B4-BE49-F238E27FC236}">
              <a16:creationId xmlns:a16="http://schemas.microsoft.com/office/drawing/2014/main" id="{4A4DD9C2-F57C-45FB-A84A-0FB0C26807DA}"/>
            </a:ext>
          </a:extLst>
        </xdr:cNvPr>
        <xdr:cNvSpPr/>
      </xdr:nvSpPr>
      <xdr:spPr>
        <a:xfrm>
          <a:off x="4829175" y="5591175"/>
          <a:ext cx="371475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10</xdr:col>
      <xdr:colOff>57150</xdr:colOff>
      <xdr:row>21</xdr:row>
      <xdr:rowOff>142875</xdr:rowOff>
    </xdr:from>
    <xdr:to>
      <xdr:col>11</xdr:col>
      <xdr:colOff>95250</xdr:colOff>
      <xdr:row>21</xdr:row>
      <xdr:rowOff>142875</xdr:rowOff>
    </xdr:to>
    <xdr:sp macro="" textlink="">
      <xdr:nvSpPr>
        <xdr:cNvPr id="65" name="Line 90">
          <a:extLst>
            <a:ext uri="{FF2B5EF4-FFF2-40B4-BE49-F238E27FC236}">
              <a16:creationId xmlns:a16="http://schemas.microsoft.com/office/drawing/2014/main" id="{44247392-60E0-4D5B-985C-E27725B47B2B}"/>
            </a:ext>
          </a:extLst>
        </xdr:cNvPr>
        <xdr:cNvSpPr/>
      </xdr:nvSpPr>
      <xdr:spPr>
        <a:xfrm>
          <a:off x="4819650" y="5848350"/>
          <a:ext cx="371475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10</xdr:col>
      <xdr:colOff>57150</xdr:colOff>
      <xdr:row>22</xdr:row>
      <xdr:rowOff>142875</xdr:rowOff>
    </xdr:from>
    <xdr:to>
      <xdr:col>11</xdr:col>
      <xdr:colOff>95250</xdr:colOff>
      <xdr:row>22</xdr:row>
      <xdr:rowOff>142875</xdr:rowOff>
    </xdr:to>
    <xdr:sp macro="" textlink="">
      <xdr:nvSpPr>
        <xdr:cNvPr id="66" name="Line 91">
          <a:extLst>
            <a:ext uri="{FF2B5EF4-FFF2-40B4-BE49-F238E27FC236}">
              <a16:creationId xmlns:a16="http://schemas.microsoft.com/office/drawing/2014/main" id="{367D7148-AB63-4D42-A049-4105EFD6E98E}"/>
            </a:ext>
          </a:extLst>
        </xdr:cNvPr>
        <xdr:cNvSpPr/>
      </xdr:nvSpPr>
      <xdr:spPr>
        <a:xfrm>
          <a:off x="4819650" y="6096000"/>
          <a:ext cx="371475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10</xdr:col>
      <xdr:colOff>57150</xdr:colOff>
      <xdr:row>23</xdr:row>
      <xdr:rowOff>142875</xdr:rowOff>
    </xdr:from>
    <xdr:to>
      <xdr:col>11</xdr:col>
      <xdr:colOff>95250</xdr:colOff>
      <xdr:row>23</xdr:row>
      <xdr:rowOff>142875</xdr:rowOff>
    </xdr:to>
    <xdr:sp macro="" textlink="">
      <xdr:nvSpPr>
        <xdr:cNvPr id="67" name="Line 92">
          <a:extLst>
            <a:ext uri="{FF2B5EF4-FFF2-40B4-BE49-F238E27FC236}">
              <a16:creationId xmlns:a16="http://schemas.microsoft.com/office/drawing/2014/main" id="{8AD090B9-0424-4523-B456-D25D8FFBFDCC}"/>
            </a:ext>
          </a:extLst>
        </xdr:cNvPr>
        <xdr:cNvSpPr/>
      </xdr:nvSpPr>
      <xdr:spPr>
        <a:xfrm>
          <a:off x="4819650" y="6343650"/>
          <a:ext cx="371475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9"/>
  <sheetViews>
    <sheetView tabSelected="1" zoomScaleNormal="100" zoomScaleSheetLayoutView="85" workbookViewId="0">
      <selection activeCell="D16" sqref="D16"/>
    </sheetView>
  </sheetViews>
  <sheetFormatPr defaultColWidth="9.125" defaultRowHeight="14.25"/>
  <cols>
    <col min="1" max="1" width="14.625" style="1" bestFit="1" customWidth="1"/>
    <col min="2" max="2" width="22" style="1" customWidth="1"/>
    <col min="3" max="3" width="10.75" style="1" customWidth="1"/>
    <col min="4" max="4" width="13.75" style="1" customWidth="1"/>
    <col min="5" max="5" width="19.75" style="1" bestFit="1" customWidth="1"/>
    <col min="6" max="10" width="14.125" style="1" customWidth="1"/>
    <col min="11" max="11" width="17" style="1" customWidth="1"/>
    <col min="12" max="12" width="19.875" style="1" customWidth="1"/>
    <col min="13" max="13" width="11.375" style="1" bestFit="1" customWidth="1"/>
    <col min="14" max="14" width="19.875" style="1" customWidth="1"/>
    <col min="15" max="16384" width="9.125" style="1"/>
  </cols>
  <sheetData>
    <row r="1" spans="1:25" ht="47.2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>
      <c r="A2" s="23" t="s">
        <v>16</v>
      </c>
      <c r="B2" s="23"/>
      <c r="C2" s="31" t="s">
        <v>21</v>
      </c>
      <c r="D2" s="32"/>
      <c r="E2" s="32"/>
      <c r="F2" s="32"/>
      <c r="G2" s="32"/>
      <c r="H2" s="32"/>
      <c r="I2" s="32"/>
      <c r="J2" s="32"/>
      <c r="K2" s="32"/>
      <c r="L2" s="33"/>
      <c r="M2" s="6" t="s">
        <v>14</v>
      </c>
      <c r="N2" s="7"/>
      <c r="O2" s="5"/>
      <c r="P2" s="5"/>
      <c r="Q2" s="5"/>
      <c r="R2" s="5"/>
      <c r="S2" s="5"/>
      <c r="T2" s="5"/>
      <c r="U2" s="5"/>
      <c r="V2" s="5"/>
      <c r="W2" s="5"/>
      <c r="Y2" s="4"/>
    </row>
    <row r="3" spans="1:25" ht="16.5" customHeight="1">
      <c r="A3" s="23" t="s">
        <v>25</v>
      </c>
      <c r="B3" s="23"/>
      <c r="C3" s="34"/>
      <c r="D3" s="35"/>
      <c r="E3" s="35"/>
      <c r="F3" s="35"/>
      <c r="G3" s="35"/>
      <c r="H3" s="35"/>
      <c r="I3" s="35"/>
      <c r="J3" s="35"/>
      <c r="K3" s="35"/>
      <c r="L3" s="36"/>
      <c r="M3" s="24" t="s">
        <v>15</v>
      </c>
      <c r="N3" s="24"/>
      <c r="O3" s="5"/>
      <c r="P3" s="5"/>
      <c r="Q3" s="5"/>
      <c r="R3" s="5"/>
      <c r="S3" s="5"/>
      <c r="T3" s="5"/>
      <c r="U3" s="5"/>
      <c r="V3" s="5"/>
      <c r="W3" s="5"/>
      <c r="Y3" s="4"/>
    </row>
    <row r="4" spans="1:25" ht="28.5">
      <c r="A4" s="2" t="s">
        <v>0</v>
      </c>
      <c r="B4" s="3"/>
      <c r="C4" s="28" t="s">
        <v>2</v>
      </c>
      <c r="D4" s="29"/>
      <c r="E4" s="30"/>
      <c r="F4" s="17"/>
      <c r="G4" s="17"/>
      <c r="H4" s="2" t="s">
        <v>1</v>
      </c>
      <c r="I4" s="25"/>
      <c r="J4" s="26"/>
      <c r="K4" s="27"/>
      <c r="L4" s="2" t="s">
        <v>4</v>
      </c>
      <c r="M4" s="17"/>
      <c r="N4" s="17"/>
    </row>
    <row r="5" spans="1:25" ht="28.5">
      <c r="A5" s="2" t="s">
        <v>5</v>
      </c>
      <c r="B5" s="3"/>
      <c r="C5" s="28" t="s">
        <v>6</v>
      </c>
      <c r="D5" s="29"/>
      <c r="E5" s="30"/>
      <c r="F5" s="17"/>
      <c r="G5" s="17"/>
      <c r="H5" s="2" t="s">
        <v>3</v>
      </c>
      <c r="I5" s="25"/>
      <c r="J5" s="26"/>
      <c r="K5" s="27"/>
      <c r="L5" s="2" t="s">
        <v>7</v>
      </c>
      <c r="M5" s="22"/>
      <c r="N5" s="17"/>
    </row>
    <row r="6" spans="1:25">
      <c r="A6" s="18" t="s">
        <v>9</v>
      </c>
      <c r="B6" s="18" t="s">
        <v>8</v>
      </c>
      <c r="C6" s="19" t="s">
        <v>22</v>
      </c>
      <c r="D6" s="19" t="s">
        <v>23</v>
      </c>
      <c r="E6" s="18" t="s">
        <v>10</v>
      </c>
      <c r="F6" s="16" t="s">
        <v>11</v>
      </c>
      <c r="G6" s="17"/>
      <c r="H6" s="17"/>
      <c r="I6" s="17"/>
      <c r="J6" s="17"/>
      <c r="K6" s="17"/>
      <c r="L6" s="17"/>
      <c r="M6" s="18" t="s">
        <v>13</v>
      </c>
      <c r="N6" s="18" t="s">
        <v>12</v>
      </c>
    </row>
    <row r="7" spans="1:25" ht="42.75">
      <c r="A7" s="17"/>
      <c r="B7" s="17"/>
      <c r="C7" s="20"/>
      <c r="D7" s="20"/>
      <c r="E7" s="17"/>
      <c r="F7" s="3">
        <v>1</v>
      </c>
      <c r="G7" s="3">
        <v>2</v>
      </c>
      <c r="H7" s="3">
        <v>3</v>
      </c>
      <c r="I7" s="3">
        <v>4</v>
      </c>
      <c r="J7" s="3">
        <v>5</v>
      </c>
      <c r="K7" s="12" t="s">
        <v>20</v>
      </c>
      <c r="L7" s="2" t="s">
        <v>19</v>
      </c>
      <c r="M7" s="17"/>
      <c r="N7" s="17"/>
    </row>
    <row r="8" spans="1:25" ht="24.95" customHeight="1">
      <c r="A8" s="9">
        <v>1</v>
      </c>
      <c r="B8" s="8"/>
      <c r="C8" s="8"/>
      <c r="D8" s="8"/>
      <c r="E8" s="3"/>
      <c r="F8" s="3"/>
      <c r="G8" s="3"/>
      <c r="H8" s="3"/>
      <c r="I8" s="3"/>
      <c r="J8" s="3"/>
      <c r="K8" s="3">
        <f>MIN(F8:J8)</f>
        <v>0</v>
      </c>
      <c r="L8" s="2">
        <f>MAX(F8:J8)</f>
        <v>0</v>
      </c>
      <c r="M8" s="3" t="str">
        <f>IF(MIN(F8:J8)&lt;(B8+C8),"NG",IF(MAX(F8:J8)&gt;(B8+D8),"NG","OK"))</f>
        <v>OK</v>
      </c>
      <c r="N8" s="3"/>
    </row>
    <row r="9" spans="1:25" ht="24.95" customHeight="1">
      <c r="A9" s="9">
        <v>2</v>
      </c>
      <c r="B9" s="8"/>
      <c r="C9" s="8"/>
      <c r="D9" s="8"/>
      <c r="E9" s="3"/>
      <c r="F9" s="3"/>
      <c r="G9" s="3"/>
      <c r="H9" s="3"/>
      <c r="I9" s="3"/>
      <c r="J9" s="3"/>
      <c r="K9" s="3">
        <f t="shared" ref="K9:K12" si="0">MIN(F9:J9)</f>
        <v>0</v>
      </c>
      <c r="L9" s="2">
        <f t="shared" ref="L9:L12" si="1">MAX(F9:J9)</f>
        <v>0</v>
      </c>
      <c r="M9" s="3" t="str">
        <f t="shared" ref="M9:M15" si="2">IF(MIN(F9:J9)&lt;(B9+C9),"NG",IF(MAX(F9:J9)&gt;(B9+D9),"NG","OK"))</f>
        <v>OK</v>
      </c>
      <c r="N9" s="3"/>
    </row>
    <row r="10" spans="1:25" ht="24.95" customHeight="1">
      <c r="A10" s="9">
        <v>3</v>
      </c>
      <c r="B10" s="9"/>
      <c r="C10" s="8"/>
      <c r="D10" s="8"/>
      <c r="E10" s="3"/>
      <c r="F10" s="3"/>
      <c r="G10" s="3"/>
      <c r="H10" s="3"/>
      <c r="I10" s="3"/>
      <c r="J10" s="3"/>
      <c r="K10" s="3">
        <f t="shared" si="0"/>
        <v>0</v>
      </c>
      <c r="L10" s="2">
        <f t="shared" si="1"/>
        <v>0</v>
      </c>
      <c r="M10" s="3" t="str">
        <f t="shared" si="2"/>
        <v>OK</v>
      </c>
      <c r="N10" s="3"/>
    </row>
    <row r="11" spans="1:25" ht="24.95" customHeight="1">
      <c r="A11" s="9">
        <v>4</v>
      </c>
      <c r="B11" s="8"/>
      <c r="C11" s="8"/>
      <c r="D11" s="8"/>
      <c r="E11" s="3"/>
      <c r="F11" s="3"/>
      <c r="G11" s="3"/>
      <c r="H11" s="3"/>
      <c r="I11" s="3"/>
      <c r="J11" s="3"/>
      <c r="K11" s="3">
        <f t="shared" si="0"/>
        <v>0</v>
      </c>
      <c r="L11" s="2">
        <f t="shared" si="1"/>
        <v>0</v>
      </c>
      <c r="M11" s="3" t="str">
        <f t="shared" si="2"/>
        <v>OK</v>
      </c>
      <c r="N11" s="3"/>
    </row>
    <row r="12" spans="1:25" ht="24.95" customHeight="1">
      <c r="A12" s="9">
        <v>5</v>
      </c>
      <c r="B12" s="9"/>
      <c r="C12" s="8"/>
      <c r="D12" s="8"/>
      <c r="E12" s="3"/>
      <c r="F12" s="3"/>
      <c r="G12" s="3"/>
      <c r="H12" s="3"/>
      <c r="I12" s="3"/>
      <c r="J12" s="3"/>
      <c r="K12" s="3">
        <f t="shared" si="0"/>
        <v>0</v>
      </c>
      <c r="L12" s="2">
        <f t="shared" si="1"/>
        <v>0</v>
      </c>
      <c r="M12" s="3" t="str">
        <f t="shared" si="2"/>
        <v>OK</v>
      </c>
      <c r="N12" s="3"/>
    </row>
    <row r="13" spans="1:25" ht="24.95" customHeight="1">
      <c r="A13" s="9">
        <v>6</v>
      </c>
      <c r="B13" s="9"/>
      <c r="C13" s="8"/>
      <c r="D13" s="8"/>
      <c r="E13" s="3"/>
      <c r="F13" s="3"/>
      <c r="G13" s="3"/>
      <c r="H13" s="3"/>
      <c r="I13" s="3"/>
      <c r="J13" s="3"/>
      <c r="K13" s="3">
        <f t="shared" ref="K13:K15" si="3">MIN(F13:J13)</f>
        <v>0</v>
      </c>
      <c r="L13" s="2">
        <f t="shared" ref="L13:L15" si="4">MAX(F13:J13)</f>
        <v>0</v>
      </c>
      <c r="M13" s="3" t="str">
        <f t="shared" si="2"/>
        <v>OK</v>
      </c>
      <c r="N13" s="3"/>
    </row>
    <row r="14" spans="1:25" ht="24.95" customHeight="1">
      <c r="A14" s="9">
        <v>7</v>
      </c>
      <c r="B14" s="9"/>
      <c r="C14" s="8"/>
      <c r="D14" s="8"/>
      <c r="E14" s="3"/>
      <c r="F14" s="3"/>
      <c r="G14" s="3"/>
      <c r="H14" s="3"/>
      <c r="I14" s="3"/>
      <c r="J14" s="3"/>
      <c r="K14" s="3">
        <f t="shared" si="3"/>
        <v>0</v>
      </c>
      <c r="L14" s="2">
        <f t="shared" si="4"/>
        <v>0</v>
      </c>
      <c r="M14" s="3" t="str">
        <f t="shared" si="2"/>
        <v>OK</v>
      </c>
      <c r="N14" s="3"/>
    </row>
    <row r="15" spans="1:25" ht="24.95" customHeight="1">
      <c r="A15" s="9">
        <v>8</v>
      </c>
      <c r="B15" s="9"/>
      <c r="C15" s="8"/>
      <c r="D15" s="8"/>
      <c r="E15" s="3"/>
      <c r="F15" s="3"/>
      <c r="G15" s="3"/>
      <c r="H15" s="3"/>
      <c r="I15" s="3"/>
      <c r="J15" s="3"/>
      <c r="K15" s="3">
        <f t="shared" si="3"/>
        <v>0</v>
      </c>
      <c r="L15" s="2">
        <f t="shared" si="4"/>
        <v>0</v>
      </c>
      <c r="M15" s="3" t="str">
        <f t="shared" si="2"/>
        <v>OK</v>
      </c>
      <c r="N15" s="3"/>
    </row>
    <row r="16" spans="1:25" ht="24.95" customHeight="1">
      <c r="A16" s="9">
        <v>9</v>
      </c>
      <c r="B16" s="9"/>
      <c r="C16" s="8"/>
      <c r="D16" s="8"/>
      <c r="E16" s="3"/>
      <c r="F16" s="3"/>
      <c r="G16" s="3"/>
      <c r="H16" s="3"/>
      <c r="I16" s="3"/>
      <c r="J16" s="3"/>
      <c r="K16" s="3"/>
      <c r="L16" s="2"/>
      <c r="M16" s="3"/>
      <c r="N16" s="3"/>
    </row>
    <row r="17" spans="1:14" ht="24.95" customHeight="1">
      <c r="A17" s="9">
        <v>10</v>
      </c>
      <c r="B17" s="13" t="s">
        <v>24</v>
      </c>
      <c r="C17" s="9"/>
      <c r="D17" s="9"/>
      <c r="E17" s="3"/>
      <c r="F17" s="3"/>
      <c r="G17" s="3"/>
      <c r="H17" s="3"/>
      <c r="I17" s="3"/>
      <c r="J17" s="3"/>
      <c r="K17" s="3"/>
      <c r="L17" s="2"/>
      <c r="M17" s="3"/>
      <c r="N17" s="3"/>
    </row>
    <row r="18" spans="1:14" ht="24.95" customHeight="1">
      <c r="A18" s="9">
        <v>11</v>
      </c>
      <c r="B18" s="14" t="s">
        <v>18</v>
      </c>
      <c r="C18" s="10"/>
      <c r="D18" s="10"/>
      <c r="E18" s="3"/>
      <c r="F18" s="3"/>
      <c r="G18" s="3"/>
      <c r="H18" s="3"/>
      <c r="I18" s="3"/>
      <c r="J18" s="3"/>
      <c r="K18" s="3"/>
      <c r="L18" s="2"/>
      <c r="M18" s="3"/>
      <c r="N18" s="3"/>
    </row>
    <row r="19" spans="1:14" ht="35.25" customHeight="1">
      <c r="A19" s="9">
        <v>12</v>
      </c>
      <c r="B19" s="15" t="s">
        <v>17</v>
      </c>
      <c r="C19" s="11"/>
      <c r="D19" s="11"/>
      <c r="E19" s="3"/>
      <c r="F19" s="3"/>
      <c r="G19" s="3"/>
      <c r="H19" s="3"/>
      <c r="I19" s="3"/>
      <c r="J19" s="3"/>
      <c r="K19" s="3"/>
      <c r="L19" s="2"/>
      <c r="M19" s="3"/>
      <c r="N19" s="3"/>
    </row>
  </sheetData>
  <mergeCells count="21">
    <mergeCell ref="A1:N1"/>
    <mergeCell ref="F4:G4"/>
    <mergeCell ref="F5:G5"/>
    <mergeCell ref="M4:N4"/>
    <mergeCell ref="M5:N5"/>
    <mergeCell ref="A2:B2"/>
    <mergeCell ref="A3:B3"/>
    <mergeCell ref="M3:N3"/>
    <mergeCell ref="I4:K4"/>
    <mergeCell ref="I5:K5"/>
    <mergeCell ref="C5:E5"/>
    <mergeCell ref="C4:E4"/>
    <mergeCell ref="C2:L3"/>
    <mergeCell ref="F6:L6"/>
    <mergeCell ref="A6:A7"/>
    <mergeCell ref="B6:B7"/>
    <mergeCell ref="M6:M7"/>
    <mergeCell ref="N6:N7"/>
    <mergeCell ref="E6:E7"/>
    <mergeCell ref="C6:C7"/>
    <mergeCell ref="D6:D7"/>
  </mergeCells>
  <phoneticPr fontId="1" type="noConversion"/>
  <printOptions horizontalCentered="1" verticalCentered="1"/>
  <pageMargins left="0.7" right="0.7" top="0.75" bottom="0.75" header="0.3" footer="0.3"/>
  <pageSetup paperSize="9" scale="70" orientation="landscape" r:id="rId1"/>
  <ignoredErrors>
    <ignoredError sqref="K8:L8 K9:K12 L9:L12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4A6D6-3B27-401A-BFA9-C1B18730D81F}">
  <sheetPr>
    <pageSetUpPr fitToPage="1"/>
  </sheetPr>
  <dimension ref="B1:BK42"/>
  <sheetViews>
    <sheetView workbookViewId="0">
      <selection activeCell="W12" sqref="W12"/>
    </sheetView>
  </sheetViews>
  <sheetFormatPr defaultColWidth="9" defaultRowHeight="14.25"/>
  <cols>
    <col min="1" max="1" width="9" style="40"/>
    <col min="2" max="2" width="16.125" style="40" bestFit="1" customWidth="1"/>
    <col min="3" max="6" width="4.25" style="40" bestFit="1" customWidth="1"/>
    <col min="7" max="9" width="4.75" style="40" customWidth="1"/>
    <col min="10" max="10" width="6.125" style="40" customWidth="1"/>
    <col min="11" max="11" width="4.375" style="40" bestFit="1" customWidth="1"/>
    <col min="12" max="63" width="2.625" style="40" customWidth="1"/>
    <col min="64" max="16384" width="9" style="40"/>
  </cols>
  <sheetData>
    <row r="1" spans="2:63" ht="18.75">
      <c r="B1" s="37" t="s">
        <v>26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9"/>
    </row>
    <row r="2" spans="2:63" ht="20.100000000000001" customHeight="1">
      <c r="B2" s="41" t="s">
        <v>27</v>
      </c>
      <c r="C2" s="41" t="s">
        <v>28</v>
      </c>
      <c r="D2" s="41"/>
      <c r="E2" s="41"/>
      <c r="F2" s="41"/>
      <c r="G2" s="41" t="s">
        <v>29</v>
      </c>
      <c r="H2" s="41"/>
      <c r="I2" s="41"/>
      <c r="J2" s="42" t="s">
        <v>30</v>
      </c>
      <c r="K2" s="42" t="s">
        <v>31</v>
      </c>
      <c r="L2" s="43" t="s">
        <v>32</v>
      </c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</row>
    <row r="3" spans="2:63" ht="21.95" customHeight="1">
      <c r="B3" s="41"/>
      <c r="C3" s="41"/>
      <c r="D3" s="41"/>
      <c r="E3" s="41"/>
      <c r="F3" s="41"/>
      <c r="G3" s="41"/>
      <c r="H3" s="41"/>
      <c r="I3" s="41"/>
      <c r="J3" s="42"/>
      <c r="K3" s="42"/>
      <c r="L3" s="45">
        <v>0.01</v>
      </c>
      <c r="M3" s="45"/>
      <c r="N3" s="45">
        <v>1.4999999999999999E-2</v>
      </c>
      <c r="O3" s="45"/>
      <c r="P3" s="45">
        <v>2.5000000000000001E-2</v>
      </c>
      <c r="Q3" s="45"/>
      <c r="R3" s="45">
        <v>0.04</v>
      </c>
      <c r="S3" s="45"/>
      <c r="T3" s="45">
        <v>6.5000000000000002E-2</v>
      </c>
      <c r="U3" s="45"/>
      <c r="V3" s="46">
        <v>0.1</v>
      </c>
      <c r="W3" s="46"/>
      <c r="X3" s="46">
        <v>0.15</v>
      </c>
      <c r="Y3" s="46"/>
      <c r="Z3" s="46">
        <v>0.25</v>
      </c>
      <c r="AA3" s="46"/>
      <c r="AB3" s="46">
        <v>0.4</v>
      </c>
      <c r="AC3" s="46"/>
      <c r="AD3" s="46">
        <v>0.65</v>
      </c>
      <c r="AE3" s="46"/>
      <c r="AF3" s="47">
        <v>1</v>
      </c>
      <c r="AG3" s="47"/>
      <c r="AH3" s="48">
        <v>1.5</v>
      </c>
      <c r="AI3" s="48"/>
      <c r="AJ3" s="48">
        <v>2.5</v>
      </c>
      <c r="AK3" s="48"/>
      <c r="AL3" s="47">
        <v>4</v>
      </c>
      <c r="AM3" s="47"/>
      <c r="AN3" s="48">
        <v>6.5</v>
      </c>
      <c r="AO3" s="48"/>
      <c r="AP3" s="48">
        <v>10</v>
      </c>
      <c r="AQ3" s="48"/>
      <c r="AR3" s="48">
        <v>15</v>
      </c>
      <c r="AS3" s="48"/>
      <c r="AT3" s="48">
        <v>25</v>
      </c>
      <c r="AU3" s="48"/>
      <c r="AV3" s="48">
        <v>40</v>
      </c>
      <c r="AW3" s="48"/>
      <c r="AX3" s="48">
        <v>65</v>
      </c>
      <c r="AY3" s="48"/>
      <c r="AZ3" s="48">
        <v>100</v>
      </c>
      <c r="BA3" s="48"/>
      <c r="BB3" s="48">
        <v>150</v>
      </c>
      <c r="BC3" s="48"/>
      <c r="BD3" s="48">
        <v>250</v>
      </c>
      <c r="BE3" s="48"/>
      <c r="BF3" s="48">
        <v>400</v>
      </c>
      <c r="BG3" s="48"/>
      <c r="BH3" s="48">
        <v>650</v>
      </c>
      <c r="BI3" s="48"/>
      <c r="BJ3" s="48">
        <v>1000</v>
      </c>
      <c r="BK3" s="48"/>
    </row>
    <row r="4" spans="2:63" ht="21.95" customHeight="1">
      <c r="B4" s="41"/>
      <c r="C4" s="49" t="s">
        <v>33</v>
      </c>
      <c r="D4" s="49" t="s">
        <v>34</v>
      </c>
      <c r="E4" s="49" t="s">
        <v>35</v>
      </c>
      <c r="F4" s="49" t="s">
        <v>36</v>
      </c>
      <c r="G4" s="49" t="s">
        <v>37</v>
      </c>
      <c r="H4" s="49" t="s">
        <v>38</v>
      </c>
      <c r="I4" s="49" t="s">
        <v>39</v>
      </c>
      <c r="J4" s="42"/>
      <c r="K4" s="42"/>
      <c r="L4" s="50" t="s">
        <v>40</v>
      </c>
      <c r="M4" s="50" t="s">
        <v>41</v>
      </c>
      <c r="N4" s="50" t="s">
        <v>40</v>
      </c>
      <c r="O4" s="50" t="s">
        <v>41</v>
      </c>
      <c r="P4" s="50" t="s">
        <v>40</v>
      </c>
      <c r="Q4" s="50" t="s">
        <v>41</v>
      </c>
      <c r="R4" s="50" t="s">
        <v>40</v>
      </c>
      <c r="S4" s="50" t="s">
        <v>41</v>
      </c>
      <c r="T4" s="50" t="s">
        <v>40</v>
      </c>
      <c r="U4" s="50" t="s">
        <v>41</v>
      </c>
      <c r="V4" s="50" t="s">
        <v>40</v>
      </c>
      <c r="W4" s="50" t="s">
        <v>41</v>
      </c>
      <c r="X4" s="50" t="s">
        <v>40</v>
      </c>
      <c r="Y4" s="50" t="s">
        <v>41</v>
      </c>
      <c r="Z4" s="50" t="s">
        <v>40</v>
      </c>
      <c r="AA4" s="50" t="s">
        <v>41</v>
      </c>
      <c r="AB4" s="50" t="s">
        <v>40</v>
      </c>
      <c r="AC4" s="50" t="s">
        <v>41</v>
      </c>
      <c r="AD4" s="50" t="s">
        <v>40</v>
      </c>
      <c r="AE4" s="50" t="s">
        <v>41</v>
      </c>
      <c r="AF4" s="50" t="s">
        <v>40</v>
      </c>
      <c r="AG4" s="50" t="s">
        <v>41</v>
      </c>
      <c r="AH4" s="50" t="s">
        <v>40</v>
      </c>
      <c r="AI4" s="50" t="s">
        <v>41</v>
      </c>
      <c r="AJ4" s="50" t="s">
        <v>40</v>
      </c>
      <c r="AK4" s="50" t="s">
        <v>41</v>
      </c>
      <c r="AL4" s="50" t="s">
        <v>40</v>
      </c>
      <c r="AM4" s="50" t="s">
        <v>41</v>
      </c>
      <c r="AN4" s="50" t="s">
        <v>40</v>
      </c>
      <c r="AO4" s="50" t="s">
        <v>41</v>
      </c>
      <c r="AP4" s="50" t="s">
        <v>40</v>
      </c>
      <c r="AQ4" s="50" t="s">
        <v>41</v>
      </c>
      <c r="AR4" s="50" t="s">
        <v>40</v>
      </c>
      <c r="AS4" s="50" t="s">
        <v>41</v>
      </c>
      <c r="AT4" s="50" t="s">
        <v>40</v>
      </c>
      <c r="AU4" s="50" t="s">
        <v>41</v>
      </c>
      <c r="AV4" s="50" t="s">
        <v>40</v>
      </c>
      <c r="AW4" s="50" t="s">
        <v>41</v>
      </c>
      <c r="AX4" s="50" t="s">
        <v>40</v>
      </c>
      <c r="AY4" s="50" t="s">
        <v>41</v>
      </c>
      <c r="AZ4" s="50" t="s">
        <v>40</v>
      </c>
      <c r="BA4" s="50" t="s">
        <v>41</v>
      </c>
      <c r="BB4" s="50" t="s">
        <v>40</v>
      </c>
      <c r="BC4" s="50" t="s">
        <v>41</v>
      </c>
      <c r="BD4" s="50" t="s">
        <v>40</v>
      </c>
      <c r="BE4" s="50" t="s">
        <v>41</v>
      </c>
      <c r="BF4" s="50" t="s">
        <v>40</v>
      </c>
      <c r="BG4" s="50" t="s">
        <v>41</v>
      </c>
      <c r="BH4" s="50" t="s">
        <v>40</v>
      </c>
      <c r="BI4" s="50" t="s">
        <v>41</v>
      </c>
      <c r="BJ4" s="50" t="s">
        <v>40</v>
      </c>
      <c r="BK4" s="50" t="s">
        <v>41</v>
      </c>
    </row>
    <row r="5" spans="2:63" ht="21.95" customHeight="1">
      <c r="B5" s="49" t="s">
        <v>42</v>
      </c>
      <c r="C5" s="49" t="s">
        <v>43</v>
      </c>
      <c r="D5" s="49" t="s">
        <v>43</v>
      </c>
      <c r="E5" s="49" t="s">
        <v>43</v>
      </c>
      <c r="F5" s="49" t="s">
        <v>43</v>
      </c>
      <c r="G5" s="49" t="s">
        <v>43</v>
      </c>
      <c r="H5" s="49" t="s">
        <v>43</v>
      </c>
      <c r="I5" s="49" t="s">
        <v>44</v>
      </c>
      <c r="J5" s="50" t="s">
        <v>43</v>
      </c>
      <c r="K5" s="50">
        <v>2</v>
      </c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>
        <v>0</v>
      </c>
      <c r="AO5" s="50">
        <v>1</v>
      </c>
      <c r="AP5" s="50"/>
      <c r="AQ5" s="50"/>
      <c r="AR5" s="50"/>
      <c r="AS5" s="50"/>
      <c r="AT5" s="50">
        <v>1</v>
      </c>
      <c r="AU5" s="50">
        <v>2</v>
      </c>
      <c r="AV5" s="50">
        <f>AU5</f>
        <v>2</v>
      </c>
      <c r="AW5" s="50">
        <f t="shared" ref="AW5:BI7" si="0">AV5+1</f>
        <v>3</v>
      </c>
      <c r="AX5" s="50">
        <f>AW5</f>
        <v>3</v>
      </c>
      <c r="AY5" s="50">
        <f t="shared" si="0"/>
        <v>4</v>
      </c>
      <c r="AZ5" s="50">
        <v>5</v>
      </c>
      <c r="BA5" s="50">
        <f t="shared" si="0"/>
        <v>6</v>
      </c>
      <c r="BB5" s="50">
        <v>7</v>
      </c>
      <c r="BC5" s="50">
        <f t="shared" ref="BC5:BK6" si="1">BB5+1</f>
        <v>8</v>
      </c>
      <c r="BD5" s="50">
        <v>10</v>
      </c>
      <c r="BE5" s="50">
        <f t="shared" si="1"/>
        <v>11</v>
      </c>
      <c r="BF5" s="50">
        <v>14</v>
      </c>
      <c r="BG5" s="50">
        <f t="shared" si="1"/>
        <v>15</v>
      </c>
      <c r="BH5" s="50">
        <v>21</v>
      </c>
      <c r="BI5" s="50">
        <f>BH5+1</f>
        <v>22</v>
      </c>
      <c r="BJ5" s="50">
        <v>30</v>
      </c>
      <c r="BK5" s="50">
        <f>BJ5+1</f>
        <v>31</v>
      </c>
    </row>
    <row r="6" spans="2:63" ht="21.95" customHeight="1">
      <c r="B6" s="49" t="s">
        <v>45</v>
      </c>
      <c r="C6" s="49" t="s">
        <v>43</v>
      </c>
      <c r="D6" s="49" t="s">
        <v>43</v>
      </c>
      <c r="E6" s="49" t="s">
        <v>43</v>
      </c>
      <c r="F6" s="49" t="s">
        <v>43</v>
      </c>
      <c r="G6" s="49" t="s">
        <v>43</v>
      </c>
      <c r="H6" s="49" t="s">
        <v>44</v>
      </c>
      <c r="I6" s="49" t="s">
        <v>46</v>
      </c>
      <c r="J6" s="50" t="s">
        <v>44</v>
      </c>
      <c r="K6" s="50">
        <v>3</v>
      </c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>
        <v>0</v>
      </c>
      <c r="AM6" s="50">
        <v>1</v>
      </c>
      <c r="AN6" s="50"/>
      <c r="AO6" s="50"/>
      <c r="AP6" s="50"/>
      <c r="AQ6" s="50"/>
      <c r="AR6" s="50">
        <v>1</v>
      </c>
      <c r="AS6" s="50">
        <v>2</v>
      </c>
      <c r="AT6" s="50">
        <f>AS6</f>
        <v>2</v>
      </c>
      <c r="AU6" s="50">
        <f t="shared" ref="AU6:BG8" si="2">AT6+1</f>
        <v>3</v>
      </c>
      <c r="AV6" s="50">
        <f>AU6</f>
        <v>3</v>
      </c>
      <c r="AW6" s="50">
        <f t="shared" si="2"/>
        <v>4</v>
      </c>
      <c r="AX6" s="50">
        <v>5</v>
      </c>
      <c r="AY6" s="50">
        <f t="shared" si="2"/>
        <v>6</v>
      </c>
      <c r="AZ6" s="50">
        <v>7</v>
      </c>
      <c r="BA6" s="50">
        <f t="shared" si="0"/>
        <v>8</v>
      </c>
      <c r="BB6" s="50">
        <v>10</v>
      </c>
      <c r="BC6" s="50">
        <f t="shared" si="0"/>
        <v>11</v>
      </c>
      <c r="BD6" s="50">
        <v>14</v>
      </c>
      <c r="BE6" s="50">
        <f t="shared" si="0"/>
        <v>15</v>
      </c>
      <c r="BF6" s="50">
        <v>21</v>
      </c>
      <c r="BG6" s="50">
        <f t="shared" si="1"/>
        <v>22</v>
      </c>
      <c r="BH6" s="50">
        <v>30</v>
      </c>
      <c r="BI6" s="50">
        <f t="shared" si="1"/>
        <v>31</v>
      </c>
      <c r="BJ6" s="50">
        <v>44</v>
      </c>
      <c r="BK6" s="50">
        <f t="shared" si="1"/>
        <v>45</v>
      </c>
    </row>
    <row r="7" spans="2:63" ht="21.95" customHeight="1">
      <c r="B7" s="49" t="s">
        <v>47</v>
      </c>
      <c r="C7" s="49" t="s">
        <v>43</v>
      </c>
      <c r="D7" s="49" t="s">
        <v>43</v>
      </c>
      <c r="E7" s="49" t="s">
        <v>44</v>
      </c>
      <c r="F7" s="49" t="s">
        <v>44</v>
      </c>
      <c r="G7" s="49" t="s">
        <v>44</v>
      </c>
      <c r="H7" s="49" t="s">
        <v>46</v>
      </c>
      <c r="I7" s="49" t="s">
        <v>48</v>
      </c>
      <c r="J7" s="50" t="s">
        <v>46</v>
      </c>
      <c r="K7" s="50">
        <v>5</v>
      </c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>
        <v>0</v>
      </c>
      <c r="AK7" s="50">
        <v>1</v>
      </c>
      <c r="AL7" s="50"/>
      <c r="AM7" s="50"/>
      <c r="AN7" s="50"/>
      <c r="AO7" s="50"/>
      <c r="AP7" s="50">
        <v>1</v>
      </c>
      <c r="AQ7" s="50">
        <v>2</v>
      </c>
      <c r="AR7" s="50">
        <f>AQ7</f>
        <v>2</v>
      </c>
      <c r="AS7" s="50">
        <f t="shared" ref="AS7:BE9" si="3">AR7+1</f>
        <v>3</v>
      </c>
      <c r="AT7" s="50">
        <f>AS7</f>
        <v>3</v>
      </c>
      <c r="AU7" s="50">
        <f t="shared" si="3"/>
        <v>4</v>
      </c>
      <c r="AV7" s="50">
        <v>5</v>
      </c>
      <c r="AW7" s="50">
        <f t="shared" si="3"/>
        <v>6</v>
      </c>
      <c r="AX7" s="50">
        <v>7</v>
      </c>
      <c r="AY7" s="50">
        <f t="shared" si="2"/>
        <v>8</v>
      </c>
      <c r="AZ7" s="50">
        <v>10</v>
      </c>
      <c r="BA7" s="50">
        <f t="shared" si="2"/>
        <v>11</v>
      </c>
      <c r="BB7" s="50">
        <v>14</v>
      </c>
      <c r="BC7" s="50">
        <f t="shared" si="2"/>
        <v>15</v>
      </c>
      <c r="BD7" s="50">
        <v>21</v>
      </c>
      <c r="BE7" s="50">
        <f t="shared" si="0"/>
        <v>22</v>
      </c>
      <c r="BF7" s="50">
        <v>30</v>
      </c>
      <c r="BG7" s="50">
        <f t="shared" si="0"/>
        <v>31</v>
      </c>
      <c r="BH7" s="50">
        <v>44</v>
      </c>
      <c r="BI7" s="50">
        <f t="shared" si="0"/>
        <v>45</v>
      </c>
      <c r="BJ7" s="50"/>
      <c r="BK7" s="50"/>
    </row>
    <row r="8" spans="2:63" ht="21.95" customHeight="1">
      <c r="B8" s="49" t="s">
        <v>49</v>
      </c>
      <c r="C8" s="49" t="s">
        <v>43</v>
      </c>
      <c r="D8" s="49" t="s">
        <v>44</v>
      </c>
      <c r="E8" s="49" t="s">
        <v>44</v>
      </c>
      <c r="F8" s="49" t="s">
        <v>46</v>
      </c>
      <c r="G8" s="49" t="s">
        <v>46</v>
      </c>
      <c r="H8" s="49" t="s">
        <v>48</v>
      </c>
      <c r="I8" s="49" t="s">
        <v>50</v>
      </c>
      <c r="J8" s="50" t="s">
        <v>48</v>
      </c>
      <c r="K8" s="50">
        <v>8</v>
      </c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>
        <v>0</v>
      </c>
      <c r="AI8" s="50">
        <v>1</v>
      </c>
      <c r="AJ8" s="50"/>
      <c r="AK8" s="50"/>
      <c r="AL8" s="50"/>
      <c r="AM8" s="50"/>
      <c r="AN8" s="50">
        <v>1</v>
      </c>
      <c r="AO8" s="50">
        <v>2</v>
      </c>
      <c r="AP8" s="50">
        <f>AO8</f>
        <v>2</v>
      </c>
      <c r="AQ8" s="50">
        <f t="shared" ref="AQ8:AY9" si="4">AP8+1</f>
        <v>3</v>
      </c>
      <c r="AR8" s="50">
        <f>AQ8</f>
        <v>3</v>
      </c>
      <c r="AS8" s="50">
        <f t="shared" si="4"/>
        <v>4</v>
      </c>
      <c r="AT8" s="50">
        <v>5</v>
      </c>
      <c r="AU8" s="50">
        <f t="shared" si="4"/>
        <v>6</v>
      </c>
      <c r="AV8" s="50">
        <v>7</v>
      </c>
      <c r="AW8" s="50">
        <f t="shared" si="3"/>
        <v>8</v>
      </c>
      <c r="AX8" s="50">
        <v>10</v>
      </c>
      <c r="AY8" s="50">
        <f t="shared" si="3"/>
        <v>11</v>
      </c>
      <c r="AZ8" s="50">
        <v>14</v>
      </c>
      <c r="BA8" s="50">
        <f t="shared" si="3"/>
        <v>15</v>
      </c>
      <c r="BB8" s="50">
        <v>21</v>
      </c>
      <c r="BC8" s="50">
        <f t="shared" si="2"/>
        <v>22</v>
      </c>
      <c r="BD8" s="50">
        <v>30</v>
      </c>
      <c r="BE8" s="50">
        <f t="shared" si="2"/>
        <v>31</v>
      </c>
      <c r="BF8" s="50">
        <v>44</v>
      </c>
      <c r="BG8" s="50">
        <f t="shared" si="2"/>
        <v>45</v>
      </c>
      <c r="BH8" s="50"/>
      <c r="BI8" s="50"/>
      <c r="BJ8" s="50"/>
      <c r="BK8" s="50"/>
    </row>
    <row r="9" spans="2:63" ht="21.95" customHeight="1">
      <c r="B9" s="49" t="s">
        <v>51</v>
      </c>
      <c r="C9" s="49" t="s">
        <v>44</v>
      </c>
      <c r="D9" s="49" t="s">
        <v>44</v>
      </c>
      <c r="E9" s="49" t="s">
        <v>46</v>
      </c>
      <c r="F9" s="49" t="s">
        <v>46</v>
      </c>
      <c r="G9" s="49" t="s">
        <v>46</v>
      </c>
      <c r="H9" s="49" t="s">
        <v>50</v>
      </c>
      <c r="I9" s="49" t="s">
        <v>52</v>
      </c>
      <c r="J9" s="50" t="s">
        <v>50</v>
      </c>
      <c r="K9" s="50">
        <v>13</v>
      </c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>
        <v>0</v>
      </c>
      <c r="AG9" s="50">
        <v>1</v>
      </c>
      <c r="AH9" s="50"/>
      <c r="AI9" s="50"/>
      <c r="AJ9" s="50"/>
      <c r="AK9" s="50"/>
      <c r="AL9" s="50">
        <v>1</v>
      </c>
      <c r="AM9" s="50">
        <v>2</v>
      </c>
      <c r="AN9" s="50">
        <f>AM9</f>
        <v>2</v>
      </c>
      <c r="AO9" s="50">
        <f t="shared" ref="AO9:AW10" si="5">AN9+1</f>
        <v>3</v>
      </c>
      <c r="AP9" s="50">
        <f>AO9</f>
        <v>3</v>
      </c>
      <c r="AQ9" s="50">
        <f t="shared" si="5"/>
        <v>4</v>
      </c>
      <c r="AR9" s="50">
        <v>5</v>
      </c>
      <c r="AS9" s="50">
        <f t="shared" si="5"/>
        <v>6</v>
      </c>
      <c r="AT9" s="50">
        <v>7</v>
      </c>
      <c r="AU9" s="50">
        <f t="shared" si="4"/>
        <v>8</v>
      </c>
      <c r="AV9" s="50">
        <v>10</v>
      </c>
      <c r="AW9" s="50">
        <f t="shared" si="4"/>
        <v>11</v>
      </c>
      <c r="AX9" s="50">
        <v>14</v>
      </c>
      <c r="AY9" s="50">
        <f t="shared" si="4"/>
        <v>15</v>
      </c>
      <c r="AZ9" s="50">
        <v>21</v>
      </c>
      <c r="BA9" s="50">
        <f t="shared" si="3"/>
        <v>22</v>
      </c>
      <c r="BB9" s="50">
        <v>30</v>
      </c>
      <c r="BC9" s="50">
        <f t="shared" si="3"/>
        <v>31</v>
      </c>
      <c r="BD9" s="50">
        <v>44</v>
      </c>
      <c r="BE9" s="50">
        <f t="shared" si="3"/>
        <v>45</v>
      </c>
      <c r="BF9" s="50"/>
      <c r="BG9" s="50"/>
      <c r="BH9" s="50"/>
      <c r="BI9" s="50"/>
      <c r="BJ9" s="50"/>
      <c r="BK9" s="50"/>
    </row>
    <row r="10" spans="2:63" ht="21.95" customHeight="1">
      <c r="B10" s="49" t="s">
        <v>53</v>
      </c>
      <c r="C10" s="49" t="s">
        <v>44</v>
      </c>
      <c r="D10" s="49" t="s">
        <v>44</v>
      </c>
      <c r="E10" s="49" t="s">
        <v>46</v>
      </c>
      <c r="F10" s="49" t="s">
        <v>48</v>
      </c>
      <c r="G10" s="49" t="s">
        <v>48</v>
      </c>
      <c r="H10" s="49" t="s">
        <v>52</v>
      </c>
      <c r="I10" s="49" t="s">
        <v>54</v>
      </c>
      <c r="J10" s="50" t="s">
        <v>52</v>
      </c>
      <c r="K10" s="50">
        <v>20</v>
      </c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>
        <v>0</v>
      </c>
      <c r="AE10" s="50">
        <v>1</v>
      </c>
      <c r="AF10" s="50"/>
      <c r="AG10" s="50"/>
      <c r="AH10" s="50"/>
      <c r="AI10" s="50"/>
      <c r="AJ10" s="50">
        <v>1</v>
      </c>
      <c r="AK10" s="50">
        <v>2</v>
      </c>
      <c r="AL10" s="50">
        <f>AK10</f>
        <v>2</v>
      </c>
      <c r="AM10" s="50">
        <f t="shared" ref="AM10:AU12" si="6">AL10+1</f>
        <v>3</v>
      </c>
      <c r="AN10" s="50">
        <f>AM10</f>
        <v>3</v>
      </c>
      <c r="AO10" s="50">
        <f t="shared" si="6"/>
        <v>4</v>
      </c>
      <c r="AP10" s="50">
        <v>5</v>
      </c>
      <c r="AQ10" s="50">
        <f t="shared" si="6"/>
        <v>6</v>
      </c>
      <c r="AR10" s="50">
        <v>7</v>
      </c>
      <c r="AS10" s="50">
        <f t="shared" si="5"/>
        <v>8</v>
      </c>
      <c r="AT10" s="50">
        <v>10</v>
      </c>
      <c r="AU10" s="50">
        <f t="shared" si="5"/>
        <v>11</v>
      </c>
      <c r="AV10" s="50">
        <v>14</v>
      </c>
      <c r="AW10" s="50">
        <f t="shared" si="5"/>
        <v>15</v>
      </c>
      <c r="AX10" s="50">
        <v>21</v>
      </c>
      <c r="AY10" s="50">
        <f>AX10+1</f>
        <v>22</v>
      </c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</row>
    <row r="11" spans="2:63" ht="21.95" customHeight="1">
      <c r="B11" s="49" t="s">
        <v>55</v>
      </c>
      <c r="C11" s="49" t="s">
        <v>44</v>
      </c>
      <c r="D11" s="49" t="s">
        <v>46</v>
      </c>
      <c r="E11" s="49" t="s">
        <v>48</v>
      </c>
      <c r="F11" s="49" t="s">
        <v>50</v>
      </c>
      <c r="G11" s="49" t="s">
        <v>50</v>
      </c>
      <c r="H11" s="49" t="s">
        <v>54</v>
      </c>
      <c r="I11" s="49" t="s">
        <v>56</v>
      </c>
      <c r="J11" s="50" t="s">
        <v>54</v>
      </c>
      <c r="K11" s="50">
        <v>32</v>
      </c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>
        <v>0</v>
      </c>
      <c r="AC11" s="50">
        <v>1</v>
      </c>
      <c r="AD11" s="50"/>
      <c r="AE11" s="50"/>
      <c r="AF11" s="50"/>
      <c r="AG11" s="50"/>
      <c r="AH11" s="50">
        <v>1</v>
      </c>
      <c r="AI11" s="50">
        <v>2</v>
      </c>
      <c r="AJ11" s="50">
        <f>AI11</f>
        <v>2</v>
      </c>
      <c r="AK11" s="50">
        <f>AJ11+1</f>
        <v>3</v>
      </c>
      <c r="AL11" s="50">
        <f>AK11</f>
        <v>3</v>
      </c>
      <c r="AM11" s="50">
        <f t="shared" si="6"/>
        <v>4</v>
      </c>
      <c r="AN11" s="50">
        <v>5</v>
      </c>
      <c r="AO11" s="50">
        <f t="shared" si="6"/>
        <v>6</v>
      </c>
      <c r="AP11" s="50">
        <v>7</v>
      </c>
      <c r="AQ11" s="50">
        <f t="shared" si="6"/>
        <v>8</v>
      </c>
      <c r="AR11" s="50">
        <v>10</v>
      </c>
      <c r="AS11" s="50">
        <f t="shared" si="6"/>
        <v>11</v>
      </c>
      <c r="AT11" s="50">
        <v>14</v>
      </c>
      <c r="AU11" s="50">
        <f t="shared" si="6"/>
        <v>15</v>
      </c>
      <c r="AV11" s="50">
        <v>21</v>
      </c>
      <c r="AW11" s="50">
        <f>AV11+1</f>
        <v>22</v>
      </c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</row>
    <row r="12" spans="2:63" ht="21.95" customHeight="1">
      <c r="B12" s="49" t="s">
        <v>57</v>
      </c>
      <c r="C12" s="49" t="s">
        <v>44</v>
      </c>
      <c r="D12" s="49" t="s">
        <v>46</v>
      </c>
      <c r="E12" s="49" t="s">
        <v>48</v>
      </c>
      <c r="F12" s="49" t="s">
        <v>50</v>
      </c>
      <c r="G12" s="49" t="s">
        <v>52</v>
      </c>
      <c r="H12" s="49" t="s">
        <v>56</v>
      </c>
      <c r="I12" s="49" t="s">
        <v>58</v>
      </c>
      <c r="J12" s="50" t="s">
        <v>56</v>
      </c>
      <c r="K12" s="50">
        <v>50</v>
      </c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>
        <v>0</v>
      </c>
      <c r="AA12" s="50">
        <v>1</v>
      </c>
      <c r="AB12" s="50"/>
      <c r="AC12" s="50"/>
      <c r="AD12" s="50"/>
      <c r="AE12" s="50"/>
      <c r="AF12" s="50">
        <v>1</v>
      </c>
      <c r="AG12" s="50">
        <v>2</v>
      </c>
      <c r="AH12" s="50">
        <f>AG12</f>
        <v>2</v>
      </c>
      <c r="AI12" s="50">
        <f t="shared" ref="AI12:AQ13" si="7">AH12+1</f>
        <v>3</v>
      </c>
      <c r="AJ12" s="50">
        <f>AI12</f>
        <v>3</v>
      </c>
      <c r="AK12" s="50">
        <f t="shared" si="7"/>
        <v>4</v>
      </c>
      <c r="AL12" s="50">
        <v>5</v>
      </c>
      <c r="AM12" s="50">
        <f t="shared" si="7"/>
        <v>6</v>
      </c>
      <c r="AN12" s="50">
        <v>7</v>
      </c>
      <c r="AO12" s="50">
        <f t="shared" si="6"/>
        <v>8</v>
      </c>
      <c r="AP12" s="50">
        <v>10</v>
      </c>
      <c r="AQ12" s="50">
        <f t="shared" si="6"/>
        <v>11</v>
      </c>
      <c r="AR12" s="50">
        <v>14</v>
      </c>
      <c r="AS12" s="50">
        <f t="shared" si="6"/>
        <v>15</v>
      </c>
      <c r="AT12" s="50">
        <v>21</v>
      </c>
      <c r="AU12" s="50">
        <f>AT12+1</f>
        <v>22</v>
      </c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</row>
    <row r="13" spans="2:63" ht="21.95" customHeight="1">
      <c r="B13" s="49" t="s">
        <v>59</v>
      </c>
      <c r="C13" s="49" t="s">
        <v>46</v>
      </c>
      <c r="D13" s="49" t="s">
        <v>46</v>
      </c>
      <c r="E13" s="49" t="s">
        <v>50</v>
      </c>
      <c r="F13" s="49" t="s">
        <v>52</v>
      </c>
      <c r="G13" s="49" t="s">
        <v>54</v>
      </c>
      <c r="H13" s="49" t="s">
        <v>58</v>
      </c>
      <c r="I13" s="49" t="s">
        <v>60</v>
      </c>
      <c r="J13" s="50" t="s">
        <v>58</v>
      </c>
      <c r="K13" s="50">
        <v>80</v>
      </c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>
        <v>0</v>
      </c>
      <c r="Y13" s="50">
        <v>1</v>
      </c>
      <c r="Z13" s="50"/>
      <c r="AA13" s="50"/>
      <c r="AB13" s="50"/>
      <c r="AC13" s="50"/>
      <c r="AD13" s="50">
        <v>1</v>
      </c>
      <c r="AE13" s="50">
        <v>2</v>
      </c>
      <c r="AF13" s="50">
        <f>AE13</f>
        <v>2</v>
      </c>
      <c r="AG13" s="50">
        <f t="shared" ref="AG13:AO14" si="8">AF13+1</f>
        <v>3</v>
      </c>
      <c r="AH13" s="50">
        <f>AG13</f>
        <v>3</v>
      </c>
      <c r="AI13" s="50">
        <f t="shared" si="8"/>
        <v>4</v>
      </c>
      <c r="AJ13" s="50">
        <v>5</v>
      </c>
      <c r="AK13" s="50">
        <f t="shared" si="8"/>
        <v>6</v>
      </c>
      <c r="AL13" s="50">
        <v>7</v>
      </c>
      <c r="AM13" s="50">
        <f t="shared" si="7"/>
        <v>8</v>
      </c>
      <c r="AN13" s="50">
        <v>10</v>
      </c>
      <c r="AO13" s="50">
        <f t="shared" si="7"/>
        <v>11</v>
      </c>
      <c r="AP13" s="50">
        <v>14</v>
      </c>
      <c r="AQ13" s="50">
        <f t="shared" si="7"/>
        <v>15</v>
      </c>
      <c r="AR13" s="50">
        <v>21</v>
      </c>
      <c r="AS13" s="50">
        <f>AR13+1</f>
        <v>22</v>
      </c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</row>
    <row r="14" spans="2:63" ht="21.95" customHeight="1">
      <c r="B14" s="49" t="s">
        <v>61</v>
      </c>
      <c r="C14" s="49" t="s">
        <v>46</v>
      </c>
      <c r="D14" s="49" t="s">
        <v>48</v>
      </c>
      <c r="E14" s="49" t="s">
        <v>50</v>
      </c>
      <c r="F14" s="49" t="s">
        <v>54</v>
      </c>
      <c r="G14" s="49" t="s">
        <v>56</v>
      </c>
      <c r="H14" s="49" t="s">
        <v>60</v>
      </c>
      <c r="I14" s="49" t="s">
        <v>62</v>
      </c>
      <c r="J14" s="50" t="s">
        <v>60</v>
      </c>
      <c r="K14" s="50">
        <v>125</v>
      </c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>
        <v>0</v>
      </c>
      <c r="W14" s="50">
        <v>1</v>
      </c>
      <c r="X14" s="50"/>
      <c r="Y14" s="50"/>
      <c r="Z14" s="50"/>
      <c r="AA14" s="50"/>
      <c r="AB14" s="50">
        <v>1</v>
      </c>
      <c r="AC14" s="50">
        <v>2</v>
      </c>
      <c r="AD14" s="50">
        <f>AC14</f>
        <v>2</v>
      </c>
      <c r="AE14" s="50">
        <f t="shared" ref="AE14:AM15" si="9">AD14+1</f>
        <v>3</v>
      </c>
      <c r="AF14" s="50">
        <f>AE14</f>
        <v>3</v>
      </c>
      <c r="AG14" s="50">
        <f t="shared" si="9"/>
        <v>4</v>
      </c>
      <c r="AH14" s="50">
        <v>5</v>
      </c>
      <c r="AI14" s="50">
        <f t="shared" si="9"/>
        <v>6</v>
      </c>
      <c r="AJ14" s="50">
        <v>7</v>
      </c>
      <c r="AK14" s="50">
        <f t="shared" si="8"/>
        <v>8</v>
      </c>
      <c r="AL14" s="50">
        <v>10</v>
      </c>
      <c r="AM14" s="50">
        <f t="shared" si="8"/>
        <v>11</v>
      </c>
      <c r="AN14" s="50">
        <v>14</v>
      </c>
      <c r="AO14" s="50">
        <f t="shared" si="8"/>
        <v>15</v>
      </c>
      <c r="AP14" s="50">
        <v>21</v>
      </c>
      <c r="AQ14" s="50">
        <f>AP14+1</f>
        <v>22</v>
      </c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</row>
    <row r="15" spans="2:63" ht="21.95" customHeight="1">
      <c r="B15" s="49" t="s">
        <v>63</v>
      </c>
      <c r="C15" s="49" t="s">
        <v>46</v>
      </c>
      <c r="D15" s="49" t="s">
        <v>48</v>
      </c>
      <c r="E15" s="49" t="s">
        <v>52</v>
      </c>
      <c r="F15" s="49" t="s">
        <v>54</v>
      </c>
      <c r="G15" s="49" t="s">
        <v>58</v>
      </c>
      <c r="H15" s="49" t="s">
        <v>62</v>
      </c>
      <c r="I15" s="49" t="s">
        <v>64</v>
      </c>
      <c r="J15" s="50" t="s">
        <v>62</v>
      </c>
      <c r="K15" s="50">
        <v>200</v>
      </c>
      <c r="L15" s="50"/>
      <c r="M15" s="50"/>
      <c r="N15" s="50"/>
      <c r="O15" s="50"/>
      <c r="P15" s="50"/>
      <c r="Q15" s="50"/>
      <c r="R15" s="50"/>
      <c r="S15" s="50"/>
      <c r="T15" s="50">
        <v>0</v>
      </c>
      <c r="U15" s="50">
        <v>1</v>
      </c>
      <c r="V15" s="50"/>
      <c r="W15" s="50"/>
      <c r="X15" s="50"/>
      <c r="Y15" s="50"/>
      <c r="Z15" s="50">
        <v>1</v>
      </c>
      <c r="AA15" s="50">
        <v>2</v>
      </c>
      <c r="AB15" s="50">
        <f>AA15</f>
        <v>2</v>
      </c>
      <c r="AC15" s="50">
        <f t="shared" ref="AC15:AK16" si="10">AB15+1</f>
        <v>3</v>
      </c>
      <c r="AD15" s="50">
        <f>AC15</f>
        <v>3</v>
      </c>
      <c r="AE15" s="50">
        <f t="shared" si="10"/>
        <v>4</v>
      </c>
      <c r="AF15" s="50">
        <v>5</v>
      </c>
      <c r="AG15" s="50">
        <f t="shared" si="10"/>
        <v>6</v>
      </c>
      <c r="AH15" s="50">
        <v>7</v>
      </c>
      <c r="AI15" s="50">
        <f t="shared" si="9"/>
        <v>8</v>
      </c>
      <c r="AJ15" s="50">
        <v>10</v>
      </c>
      <c r="AK15" s="50">
        <f t="shared" si="9"/>
        <v>11</v>
      </c>
      <c r="AL15" s="50">
        <v>14</v>
      </c>
      <c r="AM15" s="50">
        <f t="shared" si="9"/>
        <v>15</v>
      </c>
      <c r="AN15" s="50">
        <v>21</v>
      </c>
      <c r="AO15" s="50">
        <f>AN15+1</f>
        <v>22</v>
      </c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</row>
    <row r="16" spans="2:63" ht="21.95" customHeight="1">
      <c r="B16" s="49" t="s">
        <v>65</v>
      </c>
      <c r="C16" s="49" t="s">
        <v>46</v>
      </c>
      <c r="D16" s="49" t="s">
        <v>48</v>
      </c>
      <c r="E16" s="49" t="s">
        <v>52</v>
      </c>
      <c r="F16" s="49" t="s">
        <v>56</v>
      </c>
      <c r="G16" s="49" t="s">
        <v>60</v>
      </c>
      <c r="H16" s="49" t="s">
        <v>64</v>
      </c>
      <c r="I16" s="49" t="s">
        <v>66</v>
      </c>
      <c r="J16" s="50" t="s">
        <v>64</v>
      </c>
      <c r="K16" s="50">
        <v>315</v>
      </c>
      <c r="L16" s="50"/>
      <c r="M16" s="50"/>
      <c r="N16" s="50"/>
      <c r="O16" s="50"/>
      <c r="P16" s="50"/>
      <c r="Q16" s="50"/>
      <c r="R16" s="50">
        <v>0</v>
      </c>
      <c r="S16" s="50">
        <v>1</v>
      </c>
      <c r="T16" s="50"/>
      <c r="U16" s="50"/>
      <c r="V16" s="50"/>
      <c r="W16" s="50"/>
      <c r="X16" s="50">
        <v>1</v>
      </c>
      <c r="Y16" s="50">
        <v>2</v>
      </c>
      <c r="Z16" s="50">
        <f>Y16</f>
        <v>2</v>
      </c>
      <c r="AA16" s="50">
        <f t="shared" ref="AA16:AI17" si="11">Z16+1</f>
        <v>3</v>
      </c>
      <c r="AB16" s="50">
        <f>AA16</f>
        <v>3</v>
      </c>
      <c r="AC16" s="50">
        <f t="shared" si="11"/>
        <v>4</v>
      </c>
      <c r="AD16" s="50">
        <v>5</v>
      </c>
      <c r="AE16" s="50">
        <f t="shared" si="11"/>
        <v>6</v>
      </c>
      <c r="AF16" s="50">
        <v>7</v>
      </c>
      <c r="AG16" s="50">
        <f t="shared" si="10"/>
        <v>8</v>
      </c>
      <c r="AH16" s="50">
        <v>10</v>
      </c>
      <c r="AI16" s="50">
        <f t="shared" si="10"/>
        <v>11</v>
      </c>
      <c r="AJ16" s="50">
        <v>14</v>
      </c>
      <c r="AK16" s="50">
        <f t="shared" si="10"/>
        <v>15</v>
      </c>
      <c r="AL16" s="50">
        <v>21</v>
      </c>
      <c r="AM16" s="50">
        <f>AL16+1</f>
        <v>22</v>
      </c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</row>
    <row r="17" spans="2:63" ht="21.95" customHeight="1">
      <c r="B17" s="49" t="s">
        <v>67</v>
      </c>
      <c r="C17" s="49" t="s">
        <v>48</v>
      </c>
      <c r="D17" s="49" t="s">
        <v>50</v>
      </c>
      <c r="E17" s="49" t="s">
        <v>54</v>
      </c>
      <c r="F17" s="49" t="s">
        <v>58</v>
      </c>
      <c r="G17" s="49" t="s">
        <v>62</v>
      </c>
      <c r="H17" s="49" t="s">
        <v>66</v>
      </c>
      <c r="I17" s="49" t="s">
        <v>68</v>
      </c>
      <c r="J17" s="50" t="s">
        <v>66</v>
      </c>
      <c r="K17" s="50">
        <v>500</v>
      </c>
      <c r="L17" s="50"/>
      <c r="M17" s="50"/>
      <c r="N17" s="50"/>
      <c r="O17" s="50"/>
      <c r="P17" s="50">
        <v>0</v>
      </c>
      <c r="Q17" s="50">
        <v>1</v>
      </c>
      <c r="R17" s="50"/>
      <c r="S17" s="50"/>
      <c r="T17" s="50"/>
      <c r="U17" s="50"/>
      <c r="V17" s="50">
        <v>1</v>
      </c>
      <c r="W17" s="50">
        <v>2</v>
      </c>
      <c r="X17" s="50">
        <f>W17</f>
        <v>2</v>
      </c>
      <c r="Y17" s="50">
        <f t="shared" ref="Y17:AG18" si="12">X17+1</f>
        <v>3</v>
      </c>
      <c r="Z17" s="50">
        <f>Y17</f>
        <v>3</v>
      </c>
      <c r="AA17" s="50">
        <f t="shared" si="12"/>
        <v>4</v>
      </c>
      <c r="AB17" s="50">
        <v>5</v>
      </c>
      <c r="AC17" s="50">
        <f t="shared" si="12"/>
        <v>6</v>
      </c>
      <c r="AD17" s="50">
        <v>7</v>
      </c>
      <c r="AE17" s="50">
        <f t="shared" si="11"/>
        <v>8</v>
      </c>
      <c r="AF17" s="50">
        <v>10</v>
      </c>
      <c r="AG17" s="50">
        <f t="shared" si="11"/>
        <v>11</v>
      </c>
      <c r="AH17" s="50">
        <v>14</v>
      </c>
      <c r="AI17" s="50">
        <f t="shared" si="11"/>
        <v>15</v>
      </c>
      <c r="AJ17" s="50">
        <v>21</v>
      </c>
      <c r="AK17" s="50">
        <f>AJ17+1</f>
        <v>22</v>
      </c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</row>
    <row r="18" spans="2:63" ht="21.95" customHeight="1">
      <c r="B18" s="49" t="s">
        <v>69</v>
      </c>
      <c r="C18" s="49" t="s">
        <v>48</v>
      </c>
      <c r="D18" s="49" t="s">
        <v>50</v>
      </c>
      <c r="E18" s="49" t="s">
        <v>54</v>
      </c>
      <c r="F18" s="49" t="s">
        <v>58</v>
      </c>
      <c r="G18" s="49" t="s">
        <v>64</v>
      </c>
      <c r="H18" s="49" t="s">
        <v>68</v>
      </c>
      <c r="I18" s="49" t="s">
        <v>70</v>
      </c>
      <c r="J18" s="50" t="s">
        <v>68</v>
      </c>
      <c r="K18" s="50">
        <v>800</v>
      </c>
      <c r="L18" s="50"/>
      <c r="M18" s="50"/>
      <c r="N18" s="50">
        <v>0</v>
      </c>
      <c r="O18" s="50">
        <v>1</v>
      </c>
      <c r="P18" s="50"/>
      <c r="Q18" s="50"/>
      <c r="R18" s="50"/>
      <c r="S18" s="50"/>
      <c r="T18" s="50">
        <v>1</v>
      </c>
      <c r="U18" s="50">
        <v>2</v>
      </c>
      <c r="V18" s="50">
        <f>U18</f>
        <v>2</v>
      </c>
      <c r="W18" s="50">
        <f t="shared" ref="W18:AE19" si="13">V18+1</f>
        <v>3</v>
      </c>
      <c r="X18" s="50">
        <f>W18</f>
        <v>3</v>
      </c>
      <c r="Y18" s="50">
        <f t="shared" si="13"/>
        <v>4</v>
      </c>
      <c r="Z18" s="50">
        <v>5</v>
      </c>
      <c r="AA18" s="50">
        <f t="shared" si="13"/>
        <v>6</v>
      </c>
      <c r="AB18" s="50">
        <v>7</v>
      </c>
      <c r="AC18" s="50">
        <f t="shared" si="12"/>
        <v>8</v>
      </c>
      <c r="AD18" s="50">
        <v>10</v>
      </c>
      <c r="AE18" s="50">
        <f t="shared" si="12"/>
        <v>11</v>
      </c>
      <c r="AF18" s="50">
        <v>14</v>
      </c>
      <c r="AG18" s="50">
        <f t="shared" si="12"/>
        <v>15</v>
      </c>
      <c r="AH18" s="50">
        <v>21</v>
      </c>
      <c r="AI18" s="50">
        <f>AH18+1</f>
        <v>22</v>
      </c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</row>
    <row r="19" spans="2:63" ht="21.95" customHeight="1">
      <c r="B19" s="49" t="s">
        <v>71</v>
      </c>
      <c r="C19" s="49" t="s">
        <v>48</v>
      </c>
      <c r="D19" s="49" t="s">
        <v>50</v>
      </c>
      <c r="E19" s="49" t="s">
        <v>56</v>
      </c>
      <c r="F19" s="49" t="s">
        <v>60</v>
      </c>
      <c r="G19" s="49" t="s">
        <v>66</v>
      </c>
      <c r="H19" s="49" t="s">
        <v>70</v>
      </c>
      <c r="I19" s="49" t="s">
        <v>72</v>
      </c>
      <c r="J19" s="50" t="s">
        <v>70</v>
      </c>
      <c r="K19" s="50">
        <v>1250</v>
      </c>
      <c r="L19" s="50">
        <v>0</v>
      </c>
      <c r="M19" s="50">
        <v>1</v>
      </c>
      <c r="N19" s="50"/>
      <c r="O19" s="50"/>
      <c r="P19" s="50"/>
      <c r="Q19" s="50"/>
      <c r="R19" s="50">
        <v>1</v>
      </c>
      <c r="S19" s="50">
        <v>2</v>
      </c>
      <c r="T19" s="50">
        <f>S19</f>
        <v>2</v>
      </c>
      <c r="U19" s="50">
        <f t="shared" ref="U19:AC20" si="14">T19+1</f>
        <v>3</v>
      </c>
      <c r="V19" s="50">
        <f>U19</f>
        <v>3</v>
      </c>
      <c r="W19" s="50">
        <f t="shared" si="14"/>
        <v>4</v>
      </c>
      <c r="X19" s="50">
        <v>5</v>
      </c>
      <c r="Y19" s="50">
        <f t="shared" si="14"/>
        <v>6</v>
      </c>
      <c r="Z19" s="50">
        <v>7</v>
      </c>
      <c r="AA19" s="50">
        <f t="shared" si="13"/>
        <v>8</v>
      </c>
      <c r="AB19" s="50">
        <v>10</v>
      </c>
      <c r="AC19" s="50">
        <f t="shared" si="13"/>
        <v>11</v>
      </c>
      <c r="AD19" s="50">
        <v>14</v>
      </c>
      <c r="AE19" s="50">
        <f t="shared" si="13"/>
        <v>15</v>
      </c>
      <c r="AF19" s="50">
        <v>21</v>
      </c>
      <c r="AG19" s="50">
        <f>AF19+1</f>
        <v>22</v>
      </c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</row>
    <row r="20" spans="2:63" ht="21.95" customHeight="1">
      <c r="B20" s="51"/>
      <c r="C20" s="51"/>
      <c r="D20" s="51"/>
      <c r="E20" s="51"/>
      <c r="F20" s="51"/>
      <c r="G20" s="51"/>
      <c r="H20" s="51"/>
      <c r="I20" s="51"/>
      <c r="J20" s="50" t="s">
        <v>72</v>
      </c>
      <c r="K20" s="50">
        <v>2000</v>
      </c>
      <c r="L20" s="50"/>
      <c r="M20" s="50"/>
      <c r="N20" s="50"/>
      <c r="O20" s="50"/>
      <c r="P20" s="50">
        <v>1</v>
      </c>
      <c r="Q20" s="50">
        <v>2</v>
      </c>
      <c r="R20" s="50">
        <f>Q20</f>
        <v>2</v>
      </c>
      <c r="S20" s="50">
        <f t="shared" ref="S20:W20" si="15">R20+1</f>
        <v>3</v>
      </c>
      <c r="T20" s="50">
        <f>S20</f>
        <v>3</v>
      </c>
      <c r="U20" s="50">
        <f t="shared" si="15"/>
        <v>4</v>
      </c>
      <c r="V20" s="50">
        <v>5</v>
      </c>
      <c r="W20" s="50">
        <f t="shared" si="15"/>
        <v>6</v>
      </c>
      <c r="X20" s="50">
        <v>7</v>
      </c>
      <c r="Y20" s="50">
        <f t="shared" si="14"/>
        <v>8</v>
      </c>
      <c r="Z20" s="50">
        <v>10</v>
      </c>
      <c r="AA20" s="50">
        <f t="shared" si="14"/>
        <v>11</v>
      </c>
      <c r="AB20" s="50">
        <v>14</v>
      </c>
      <c r="AC20" s="50">
        <f t="shared" si="14"/>
        <v>15</v>
      </c>
      <c r="AD20" s="50">
        <v>21</v>
      </c>
      <c r="AE20" s="50">
        <f>AD20+1</f>
        <v>22</v>
      </c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</row>
    <row r="21" spans="2:63" ht="20.100000000000001" customHeight="1">
      <c r="J21" s="52"/>
      <c r="K21" s="52"/>
      <c r="L21" s="53"/>
      <c r="M21" s="54" t="s">
        <v>73</v>
      </c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</row>
    <row r="22" spans="2:63" ht="20.100000000000001" customHeight="1">
      <c r="J22" s="52"/>
      <c r="K22" s="52"/>
      <c r="L22" s="53"/>
      <c r="M22" s="54" t="s">
        <v>74</v>
      </c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</row>
    <row r="23" spans="2:63" ht="20.100000000000001" customHeight="1">
      <c r="J23" s="53" t="s">
        <v>40</v>
      </c>
      <c r="K23" s="52"/>
      <c r="L23" s="53"/>
      <c r="M23" s="54" t="s">
        <v>75</v>
      </c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</row>
    <row r="24" spans="2:63" ht="20.100000000000001" customHeight="1">
      <c r="J24" s="53" t="s">
        <v>41</v>
      </c>
      <c r="K24" s="52"/>
      <c r="L24" s="53"/>
      <c r="M24" s="54" t="s">
        <v>76</v>
      </c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</row>
    <row r="26" spans="2:63" ht="15.75" customHeight="1"/>
    <row r="27" spans="2:63" ht="15.75" customHeight="1"/>
    <row r="28" spans="2:63" ht="15.75" customHeight="1"/>
    <row r="29" spans="2:63" ht="15.75" customHeight="1"/>
    <row r="30" spans="2:63" ht="15.75" customHeight="1"/>
    <row r="31" spans="2:63" ht="15.75" customHeight="1"/>
    <row r="32" spans="2:63" ht="15.75" customHeight="1"/>
    <row r="33" spans="11:20" ht="15.75" customHeight="1"/>
    <row r="34" spans="11:20" ht="15.75" customHeight="1"/>
    <row r="35" spans="11:20" ht="15.75" customHeight="1"/>
    <row r="36" spans="11:20" ht="15.75" customHeight="1"/>
    <row r="37" spans="11:20" ht="15.75" customHeight="1"/>
    <row r="38" spans="11:20" ht="15.75" customHeight="1"/>
    <row r="39" spans="11:20" ht="15.75">
      <c r="K39" s="55"/>
      <c r="L39" s="55"/>
      <c r="M39" s="55"/>
      <c r="N39" s="55"/>
      <c r="O39" s="55"/>
      <c r="P39" s="55"/>
      <c r="Q39" s="55"/>
      <c r="R39" s="55"/>
      <c r="S39" s="55"/>
      <c r="T39" s="55"/>
    </row>
    <row r="40" spans="11:20" ht="15.75">
      <c r="K40" s="55"/>
      <c r="L40" s="55"/>
      <c r="M40" s="55"/>
      <c r="N40" s="55"/>
      <c r="O40" s="55"/>
      <c r="P40" s="55"/>
      <c r="Q40" s="55"/>
      <c r="R40" s="55"/>
      <c r="S40" s="55"/>
      <c r="T40" s="55"/>
    </row>
    <row r="41" spans="11:20" ht="15.75">
      <c r="K41" s="55"/>
      <c r="L41" s="55"/>
      <c r="M41" s="55"/>
      <c r="N41" s="55"/>
      <c r="O41" s="55"/>
      <c r="P41" s="55"/>
      <c r="Q41" s="55"/>
      <c r="R41" s="55"/>
      <c r="S41" s="55"/>
      <c r="T41" s="55"/>
    </row>
    <row r="42" spans="11:20" ht="15.75">
      <c r="K42" s="55"/>
      <c r="L42" s="56"/>
      <c r="M42" s="56"/>
      <c r="N42" s="55"/>
      <c r="O42" s="55"/>
      <c r="P42" s="55"/>
      <c r="Q42" s="55"/>
      <c r="R42" s="55"/>
      <c r="S42" s="55"/>
      <c r="T42" s="55"/>
    </row>
  </sheetData>
  <mergeCells count="33">
    <mergeCell ref="BB3:BC3"/>
    <mergeCell ref="BD3:BE3"/>
    <mergeCell ref="BF3:BG3"/>
    <mergeCell ref="BH3:BI3"/>
    <mergeCell ref="BJ3:BK3"/>
    <mergeCell ref="AP3:AQ3"/>
    <mergeCell ref="AR3:AS3"/>
    <mergeCell ref="AT3:AU3"/>
    <mergeCell ref="AV3:AW3"/>
    <mergeCell ref="AX3:AY3"/>
    <mergeCell ref="AZ3:BA3"/>
    <mergeCell ref="AD3:AE3"/>
    <mergeCell ref="AF3:AG3"/>
    <mergeCell ref="AH3:AI3"/>
    <mergeCell ref="AJ3:AK3"/>
    <mergeCell ref="AL3:AM3"/>
    <mergeCell ref="AN3:AO3"/>
    <mergeCell ref="R3:S3"/>
    <mergeCell ref="T3:U3"/>
    <mergeCell ref="V3:W3"/>
    <mergeCell ref="X3:Y3"/>
    <mergeCell ref="Z3:AA3"/>
    <mergeCell ref="AB3:AC3"/>
    <mergeCell ref="B1:BK1"/>
    <mergeCell ref="B2:B4"/>
    <mergeCell ref="C2:F3"/>
    <mergeCell ref="G2:I3"/>
    <mergeCell ref="J2:J4"/>
    <mergeCell ref="K2:K4"/>
    <mergeCell ref="L2:BK2"/>
    <mergeCell ref="L3:M3"/>
    <mergeCell ref="N3:O3"/>
    <mergeCell ref="P3:Q3"/>
  </mergeCells>
  <phoneticPr fontId="1" type="noConversion"/>
  <pageMargins left="0.35763888888888901" right="0.35763888888888901" top="0.40902777777777799" bottom="0.40902777777777799" header="0.31458333333333299" footer="0.31458333333333299"/>
  <pageSetup paperSize="9" scale="6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检验记录</vt:lpstr>
      <vt:lpstr>抽样表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2024-10-12T09:36:55Z</dcterms:modified>
</cp:coreProperties>
</file>