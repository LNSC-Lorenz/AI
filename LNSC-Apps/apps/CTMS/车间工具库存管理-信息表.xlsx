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ToolM_App_260526-\"/>
    </mc:Choice>
  </mc:AlternateContent>
  <bookViews>
    <workbookView xWindow="-120" yWindow="-120" windowWidth="29040" windowHeight="15720" activeTab="1"/>
  </bookViews>
  <sheets>
    <sheet name="Sheet1" sheetId="4" r:id="rId1"/>
    <sheet name="Sheet2" sheetId="5" r:id="rId2"/>
    <sheet name="Sheet3" sheetId="6" r:id="rId3"/>
    <sheet name="Sheet4" sheetId="7" r:id="rId4"/>
    <sheet name="Sheet5" sheetId="8" r:id="rId5"/>
  </sheets>
  <definedNames>
    <definedName name="_xlnm._FilterDatabase" localSheetId="0" hidden="1">Sheet1!$A$1:$Q$330</definedName>
    <definedName name="_xlnm._FilterDatabase" localSheetId="1" hidden="1">Sheet2!$A$1:$O$322</definedName>
    <definedName name="_xlnm._FilterDatabase" localSheetId="2" hidden="1">Sheet3!$A$1:$O$423</definedName>
    <definedName name="_xlnm._FilterDatabase" localSheetId="4" hidden="1">Sheet5!$A$1:$O$449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0" i="5" l="1"/>
  <c r="H250" i="5"/>
  <c r="G250" i="5"/>
  <c r="E250" i="5"/>
  <c r="I57" i="4" l="1"/>
  <c r="H57" i="4"/>
  <c r="G57" i="4"/>
  <c r="E57" i="4"/>
  <c r="I235" i="6" l="1"/>
  <c r="H235" i="6"/>
  <c r="G235" i="6"/>
  <c r="E235" i="6"/>
  <c r="I37" i="6"/>
  <c r="H37" i="6"/>
  <c r="G37" i="6"/>
  <c r="E37" i="6"/>
  <c r="I45" i="6" l="1"/>
  <c r="H45" i="6"/>
  <c r="G45" i="6"/>
  <c r="E45" i="6"/>
  <c r="I290" i="6"/>
  <c r="H290" i="6"/>
  <c r="G290" i="6"/>
  <c r="E290" i="6"/>
  <c r="I41" i="6" l="1"/>
  <c r="H41" i="6"/>
  <c r="G41" i="6"/>
  <c r="E41" i="6"/>
  <c r="E283" i="6"/>
  <c r="I283" i="6"/>
  <c r="H283" i="6"/>
  <c r="G283" i="6"/>
  <c r="E343" i="6" l="1"/>
  <c r="I343" i="6"/>
  <c r="H343" i="6"/>
  <c r="G343" i="6"/>
  <c r="E204" i="6" l="1"/>
  <c r="I58" i="4" l="1"/>
  <c r="H58" i="4"/>
  <c r="G58" i="4"/>
  <c r="E58" i="4"/>
  <c r="G124" i="8" l="1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23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07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85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64" i="8"/>
  <c r="G52" i="8"/>
  <c r="G53" i="8"/>
  <c r="G54" i="8"/>
  <c r="G55" i="8"/>
  <c r="G56" i="8"/>
  <c r="G57" i="8"/>
  <c r="G58" i="8"/>
  <c r="G59" i="8"/>
  <c r="G60" i="8"/>
  <c r="G61" i="8"/>
  <c r="G62" i="8"/>
  <c r="G63" i="8"/>
  <c r="G51" i="8"/>
  <c r="G50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29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53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182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49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31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02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275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" i="8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41" i="6"/>
  <c r="G342" i="6"/>
  <c r="G347" i="6"/>
  <c r="G348" i="6"/>
  <c r="G303" i="6"/>
  <c r="G273" i="6"/>
  <c r="G274" i="6"/>
  <c r="G275" i="6"/>
  <c r="G276" i="6"/>
  <c r="G277" i="6"/>
  <c r="G278" i="6"/>
  <c r="G279" i="6"/>
  <c r="G280" i="6"/>
  <c r="G281" i="6"/>
  <c r="G282" i="6"/>
  <c r="G284" i="6"/>
  <c r="G285" i="6"/>
  <c r="G286" i="6"/>
  <c r="G287" i="6"/>
  <c r="G288" i="6"/>
  <c r="G289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272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41" i="6"/>
  <c r="G238" i="6"/>
  <c r="G239" i="6"/>
  <c r="G240" i="6"/>
  <c r="G237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6" i="6"/>
  <c r="G216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195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66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3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05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9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60" i="6"/>
  <c r="G33" i="6"/>
  <c r="G34" i="6"/>
  <c r="G35" i="6"/>
  <c r="G36" i="6"/>
  <c r="G38" i="6"/>
  <c r="G39" i="6"/>
  <c r="G40" i="6"/>
  <c r="G42" i="6"/>
  <c r="G43" i="6"/>
  <c r="G44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291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59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1" i="5"/>
  <c r="G252" i="5"/>
  <c r="G253" i="5"/>
  <c r="G254" i="5"/>
  <c r="G255" i="5"/>
  <c r="G256" i="5"/>
  <c r="G257" i="5"/>
  <c r="G258" i="5"/>
  <c r="G226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194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62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30" i="5"/>
  <c r="G129" i="5"/>
  <c r="G3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I286" i="4" l="1"/>
  <c r="H286" i="4"/>
  <c r="G286" i="4"/>
  <c r="E286" i="4"/>
  <c r="I285" i="4"/>
  <c r="H285" i="4"/>
  <c r="G285" i="4"/>
  <c r="E285" i="4"/>
  <c r="I284" i="4"/>
  <c r="H284" i="4"/>
  <c r="G284" i="4"/>
  <c r="E284" i="4"/>
  <c r="I283" i="4"/>
  <c r="H283" i="4"/>
  <c r="G283" i="4"/>
  <c r="E283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55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23" i="4"/>
  <c r="G222" i="4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98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66" i="5"/>
  <c r="G6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5" i="5"/>
  <c r="G34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2" i="5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191" i="4"/>
  <c r="G190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59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27" i="4"/>
  <c r="G102" i="4"/>
  <c r="G96" i="4"/>
  <c r="G97" i="4"/>
  <c r="G98" i="4"/>
  <c r="G99" i="4"/>
  <c r="G100" i="4"/>
  <c r="G101" i="4"/>
  <c r="G95" i="4"/>
  <c r="G94" i="4"/>
  <c r="I82" i="4"/>
  <c r="H82" i="4"/>
  <c r="G82" i="4"/>
  <c r="E82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3" i="4"/>
  <c r="G84" i="4"/>
  <c r="G85" i="4"/>
  <c r="G86" i="4"/>
  <c r="G87" i="4"/>
  <c r="G88" i="4"/>
  <c r="G89" i="4"/>
  <c r="G90" i="4"/>
  <c r="G91" i="4"/>
  <c r="G92" i="4"/>
  <c r="G93" i="4"/>
  <c r="G63" i="4"/>
  <c r="G62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9" i="4"/>
  <c r="G60" i="4"/>
  <c r="G61" i="4"/>
  <c r="G34" i="4"/>
  <c r="G33" i="4"/>
  <c r="I40" i="4"/>
  <c r="H40" i="4"/>
  <c r="E40" i="4"/>
  <c r="I39" i="4"/>
  <c r="H39" i="4"/>
  <c r="E39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2" i="4"/>
  <c r="G2" i="6" l="1"/>
  <c r="H2" i="8" l="1"/>
  <c r="I348" i="6" l="1"/>
  <c r="H348" i="6"/>
  <c r="E348" i="6"/>
  <c r="I347" i="6"/>
  <c r="H347" i="6"/>
  <c r="E347" i="6"/>
  <c r="I346" i="6"/>
  <c r="H346" i="6"/>
  <c r="G346" i="6"/>
  <c r="E346" i="6"/>
  <c r="I345" i="6"/>
  <c r="H345" i="6"/>
  <c r="G345" i="6"/>
  <c r="E345" i="6"/>
  <c r="I344" i="6"/>
  <c r="H344" i="6"/>
  <c r="G344" i="6"/>
  <c r="E344" i="6"/>
  <c r="I342" i="6"/>
  <c r="H342" i="6"/>
  <c r="E342" i="6"/>
  <c r="I341" i="6"/>
  <c r="H341" i="6"/>
  <c r="E341" i="6"/>
  <c r="I340" i="6"/>
  <c r="H340" i="6"/>
  <c r="G340" i="6"/>
  <c r="E340" i="6"/>
  <c r="I319" i="6"/>
  <c r="H319" i="6"/>
  <c r="E319" i="6"/>
  <c r="I318" i="6"/>
  <c r="H318" i="6"/>
  <c r="E318" i="6"/>
  <c r="I317" i="6"/>
  <c r="H317" i="6"/>
  <c r="E317" i="6"/>
  <c r="I316" i="6"/>
  <c r="H316" i="6"/>
  <c r="E316" i="6"/>
  <c r="I315" i="6"/>
  <c r="H315" i="6"/>
  <c r="E315" i="6"/>
  <c r="I314" i="6"/>
  <c r="H314" i="6"/>
  <c r="E314" i="6"/>
  <c r="I313" i="6"/>
  <c r="H313" i="6"/>
  <c r="E313" i="6"/>
  <c r="I339" i="6"/>
  <c r="H339" i="6"/>
  <c r="G339" i="6"/>
  <c r="E339" i="6"/>
  <c r="I338" i="6"/>
  <c r="H338" i="6"/>
  <c r="G338" i="6"/>
  <c r="E338" i="6"/>
  <c r="I312" i="6"/>
  <c r="H312" i="6"/>
  <c r="E312" i="6"/>
  <c r="I311" i="6"/>
  <c r="H311" i="6"/>
  <c r="E311" i="6"/>
  <c r="I310" i="6"/>
  <c r="H310" i="6"/>
  <c r="E310" i="6"/>
  <c r="I309" i="6"/>
  <c r="H309" i="6"/>
  <c r="E309" i="6"/>
  <c r="I308" i="6"/>
  <c r="H308" i="6"/>
  <c r="E308" i="6"/>
  <c r="I307" i="6"/>
  <c r="H307" i="6"/>
  <c r="E307" i="6"/>
  <c r="I337" i="6"/>
  <c r="H337" i="6"/>
  <c r="G337" i="6"/>
  <c r="E337" i="6"/>
  <c r="I336" i="6"/>
  <c r="H336" i="6"/>
  <c r="G336" i="6"/>
  <c r="E336" i="6"/>
  <c r="I335" i="6"/>
  <c r="H335" i="6"/>
  <c r="G335" i="6"/>
  <c r="E335" i="6"/>
  <c r="I334" i="6"/>
  <c r="H334" i="6"/>
  <c r="G334" i="6"/>
  <c r="E334" i="6"/>
  <c r="I306" i="6"/>
  <c r="H306" i="6"/>
  <c r="E306" i="6"/>
  <c r="I305" i="6"/>
  <c r="H305" i="6"/>
  <c r="E305" i="6"/>
  <c r="I304" i="6"/>
  <c r="H304" i="6"/>
  <c r="E304" i="6"/>
  <c r="I303" i="6"/>
  <c r="H303" i="6"/>
  <c r="E303" i="6"/>
  <c r="I333" i="6"/>
  <c r="H333" i="6"/>
  <c r="G333" i="6"/>
  <c r="E333" i="6"/>
  <c r="I302" i="6"/>
  <c r="H302" i="6"/>
  <c r="E302" i="6"/>
  <c r="I301" i="6"/>
  <c r="H301" i="6"/>
  <c r="E301" i="6"/>
  <c r="I300" i="6"/>
  <c r="H300" i="6"/>
  <c r="E300" i="6"/>
  <c r="I299" i="6"/>
  <c r="H299" i="6"/>
  <c r="E299" i="6"/>
  <c r="I298" i="6"/>
  <c r="H298" i="6"/>
  <c r="E298" i="6"/>
  <c r="I297" i="6"/>
  <c r="H297" i="6"/>
  <c r="E297" i="6"/>
  <c r="I296" i="6"/>
  <c r="H296" i="6"/>
  <c r="E296" i="6"/>
  <c r="I295" i="6"/>
  <c r="H295" i="6"/>
  <c r="E295" i="6"/>
  <c r="I294" i="6"/>
  <c r="H294" i="6"/>
  <c r="E294" i="6"/>
  <c r="I293" i="6"/>
  <c r="H293" i="6"/>
  <c r="E293" i="6"/>
  <c r="I292" i="6"/>
  <c r="H292" i="6"/>
  <c r="E292" i="6"/>
  <c r="I291" i="6"/>
  <c r="H291" i="6"/>
  <c r="E291" i="6"/>
  <c r="I423" i="6"/>
  <c r="H423" i="6"/>
  <c r="G423" i="6"/>
  <c r="E423" i="6"/>
  <c r="I289" i="6"/>
  <c r="H289" i="6"/>
  <c r="E289" i="6"/>
  <c r="I288" i="6"/>
  <c r="H288" i="6"/>
  <c r="E288" i="6"/>
  <c r="I287" i="6"/>
  <c r="H287" i="6"/>
  <c r="E287" i="6"/>
  <c r="I286" i="6"/>
  <c r="H286" i="6"/>
  <c r="E286" i="6"/>
  <c r="I285" i="6"/>
  <c r="H285" i="6"/>
  <c r="E285" i="6"/>
  <c r="I284" i="6"/>
  <c r="H284" i="6"/>
  <c r="E284" i="6"/>
  <c r="I422" i="6"/>
  <c r="H422" i="6"/>
  <c r="G422" i="6"/>
  <c r="E422" i="6"/>
  <c r="I282" i="6"/>
  <c r="H282" i="6"/>
  <c r="E282" i="6"/>
  <c r="I281" i="6"/>
  <c r="H281" i="6"/>
  <c r="E281" i="6"/>
  <c r="I280" i="6"/>
  <c r="H280" i="6"/>
  <c r="E280" i="6"/>
  <c r="I279" i="6"/>
  <c r="H279" i="6"/>
  <c r="E279" i="6"/>
  <c r="I278" i="6"/>
  <c r="H278" i="6"/>
  <c r="E278" i="6"/>
  <c r="I277" i="6"/>
  <c r="H277" i="6"/>
  <c r="E277" i="6"/>
  <c r="I276" i="6"/>
  <c r="H276" i="6"/>
  <c r="E276" i="6"/>
  <c r="I275" i="6"/>
  <c r="H275" i="6"/>
  <c r="E275" i="6"/>
  <c r="I274" i="6"/>
  <c r="H274" i="6"/>
  <c r="E274" i="6"/>
  <c r="I273" i="6"/>
  <c r="H273" i="6"/>
  <c r="E273" i="6"/>
  <c r="I272" i="6"/>
  <c r="H272" i="6"/>
  <c r="E272" i="6"/>
  <c r="I332" i="6"/>
  <c r="H332" i="6"/>
  <c r="G332" i="6"/>
  <c r="E332" i="6"/>
  <c r="I271" i="6"/>
  <c r="H271" i="6"/>
  <c r="E271" i="6"/>
  <c r="I270" i="6"/>
  <c r="H270" i="6"/>
  <c r="E270" i="6"/>
  <c r="I269" i="6"/>
  <c r="H269" i="6"/>
  <c r="E269" i="6"/>
  <c r="I268" i="6"/>
  <c r="H268" i="6"/>
  <c r="E268" i="6"/>
  <c r="I267" i="6"/>
  <c r="H267" i="6"/>
  <c r="E267" i="6"/>
  <c r="I266" i="6"/>
  <c r="H266" i="6"/>
  <c r="E266" i="6"/>
  <c r="I265" i="6"/>
  <c r="H265" i="6"/>
  <c r="E265" i="6"/>
  <c r="I264" i="6"/>
  <c r="H264" i="6"/>
  <c r="E264" i="6"/>
  <c r="I263" i="6"/>
  <c r="H263" i="6"/>
  <c r="E263" i="6"/>
  <c r="I262" i="6"/>
  <c r="H262" i="6"/>
  <c r="E262" i="6"/>
  <c r="I261" i="6"/>
  <c r="H261" i="6"/>
  <c r="E261" i="6"/>
  <c r="I260" i="6"/>
  <c r="H260" i="6"/>
  <c r="E260" i="6"/>
  <c r="I259" i="6"/>
  <c r="H259" i="6"/>
  <c r="E259" i="6"/>
  <c r="I258" i="6"/>
  <c r="H258" i="6"/>
  <c r="E258" i="6"/>
  <c r="I257" i="6"/>
  <c r="H257" i="6"/>
  <c r="E257" i="6"/>
  <c r="I256" i="6"/>
  <c r="H256" i="6"/>
  <c r="E256" i="6"/>
  <c r="I255" i="6"/>
  <c r="H255" i="6"/>
  <c r="E255" i="6"/>
  <c r="I254" i="6"/>
  <c r="H254" i="6"/>
  <c r="E254" i="6"/>
  <c r="I253" i="6"/>
  <c r="H253" i="6"/>
  <c r="E253" i="6"/>
  <c r="I252" i="6"/>
  <c r="H252" i="6"/>
  <c r="E252" i="6"/>
  <c r="I251" i="6"/>
  <c r="H251" i="6"/>
  <c r="E251" i="6"/>
  <c r="I250" i="6"/>
  <c r="H250" i="6"/>
  <c r="E250" i="6"/>
  <c r="I249" i="6"/>
  <c r="H249" i="6"/>
  <c r="E249" i="6"/>
  <c r="I248" i="6"/>
  <c r="H248" i="6"/>
  <c r="E248" i="6"/>
  <c r="I247" i="6"/>
  <c r="H247" i="6"/>
  <c r="E247" i="6"/>
  <c r="I246" i="6"/>
  <c r="H246" i="6"/>
  <c r="E246" i="6"/>
  <c r="I245" i="6"/>
  <c r="H245" i="6"/>
  <c r="E245" i="6"/>
  <c r="I244" i="6"/>
  <c r="H244" i="6"/>
  <c r="E244" i="6"/>
  <c r="I243" i="6"/>
  <c r="H243" i="6"/>
  <c r="E243" i="6"/>
  <c r="I242" i="6"/>
  <c r="H242" i="6"/>
  <c r="E242" i="6"/>
  <c r="I241" i="6"/>
  <c r="H241" i="6"/>
  <c r="E241" i="6"/>
  <c r="I240" i="6"/>
  <c r="H240" i="6"/>
  <c r="E240" i="6"/>
  <c r="I421" i="6"/>
  <c r="H421" i="6"/>
  <c r="G421" i="6"/>
  <c r="E421" i="6"/>
  <c r="I420" i="6"/>
  <c r="H420" i="6"/>
  <c r="G420" i="6"/>
  <c r="E420" i="6"/>
  <c r="I419" i="6"/>
  <c r="H419" i="6"/>
  <c r="G419" i="6"/>
  <c r="E419" i="6"/>
  <c r="I418" i="6"/>
  <c r="H418" i="6"/>
  <c r="G418" i="6"/>
  <c r="E418" i="6"/>
  <c r="I417" i="6"/>
  <c r="H417" i="6"/>
  <c r="G417" i="6"/>
  <c r="E417" i="6"/>
  <c r="I416" i="6"/>
  <c r="H416" i="6"/>
  <c r="G416" i="6"/>
  <c r="E416" i="6"/>
  <c r="I415" i="6"/>
  <c r="H415" i="6"/>
  <c r="G415" i="6"/>
  <c r="E415" i="6"/>
  <c r="I414" i="6"/>
  <c r="H414" i="6"/>
  <c r="G414" i="6"/>
  <c r="E414" i="6"/>
  <c r="I413" i="6"/>
  <c r="H413" i="6"/>
  <c r="G413" i="6"/>
  <c r="E413" i="6"/>
  <c r="I331" i="6"/>
  <c r="H331" i="6"/>
  <c r="G331" i="6"/>
  <c r="E331" i="6"/>
  <c r="I412" i="6"/>
  <c r="H412" i="6"/>
  <c r="G412" i="6"/>
  <c r="E412" i="6"/>
  <c r="I411" i="6"/>
  <c r="H411" i="6"/>
  <c r="G411" i="6"/>
  <c r="E411" i="6"/>
  <c r="I330" i="6"/>
  <c r="H330" i="6"/>
  <c r="G330" i="6"/>
  <c r="E330" i="6"/>
  <c r="I410" i="6"/>
  <c r="H410" i="6"/>
  <c r="G410" i="6"/>
  <c r="E410" i="6"/>
  <c r="I239" i="6"/>
  <c r="H239" i="6"/>
  <c r="E239" i="6"/>
  <c r="I409" i="6"/>
  <c r="H409" i="6"/>
  <c r="G409" i="6"/>
  <c r="E409" i="6"/>
  <c r="I238" i="6"/>
  <c r="H238" i="6"/>
  <c r="E238" i="6"/>
  <c r="I408" i="6"/>
  <c r="H408" i="6"/>
  <c r="G408" i="6"/>
  <c r="E408" i="6"/>
  <c r="I407" i="6"/>
  <c r="H407" i="6"/>
  <c r="G407" i="6"/>
  <c r="E407" i="6"/>
  <c r="I406" i="6"/>
  <c r="H406" i="6"/>
  <c r="G406" i="6"/>
  <c r="E406" i="6"/>
  <c r="I405" i="6"/>
  <c r="H405" i="6"/>
  <c r="G405" i="6"/>
  <c r="E405" i="6"/>
  <c r="I404" i="6"/>
  <c r="H404" i="6"/>
  <c r="G404" i="6"/>
  <c r="E404" i="6"/>
  <c r="I403" i="6"/>
  <c r="H403" i="6"/>
  <c r="G403" i="6"/>
  <c r="E403" i="6"/>
  <c r="I402" i="6"/>
  <c r="H402" i="6"/>
  <c r="G402" i="6"/>
  <c r="E402" i="6"/>
  <c r="I401" i="6"/>
  <c r="H401" i="6"/>
  <c r="G401" i="6"/>
  <c r="E401" i="6"/>
  <c r="I237" i="6"/>
  <c r="H237" i="6"/>
  <c r="E237" i="6"/>
  <c r="I400" i="6"/>
  <c r="H400" i="6"/>
  <c r="G400" i="6"/>
  <c r="E400" i="6"/>
  <c r="I399" i="6"/>
  <c r="H399" i="6"/>
  <c r="G399" i="6"/>
  <c r="E399" i="6"/>
  <c r="I398" i="6"/>
  <c r="H398" i="6"/>
  <c r="G398" i="6"/>
  <c r="E398" i="6"/>
  <c r="I397" i="6"/>
  <c r="H397" i="6"/>
  <c r="G397" i="6"/>
  <c r="E397" i="6"/>
  <c r="I396" i="6"/>
  <c r="H396" i="6"/>
  <c r="G396" i="6"/>
  <c r="E396" i="6"/>
  <c r="I236" i="6"/>
  <c r="H236" i="6"/>
  <c r="E236" i="6"/>
  <c r="I329" i="6"/>
  <c r="H329" i="6"/>
  <c r="G329" i="6"/>
  <c r="E329" i="6"/>
  <c r="I234" i="6"/>
  <c r="H234" i="6"/>
  <c r="E234" i="6"/>
  <c r="I233" i="6"/>
  <c r="H233" i="6"/>
  <c r="E233" i="6"/>
  <c r="I328" i="6"/>
  <c r="H328" i="6"/>
  <c r="G328" i="6"/>
  <c r="E328" i="6"/>
  <c r="I327" i="6"/>
  <c r="H327" i="6"/>
  <c r="G327" i="6"/>
  <c r="E327" i="6"/>
  <c r="I326" i="6"/>
  <c r="H326" i="6"/>
  <c r="G326" i="6"/>
  <c r="E326" i="6"/>
  <c r="I325" i="6"/>
  <c r="H325" i="6"/>
  <c r="G325" i="6"/>
  <c r="E325" i="6"/>
  <c r="I324" i="6"/>
  <c r="H324" i="6"/>
  <c r="G324" i="6"/>
  <c r="E324" i="6"/>
  <c r="I323" i="6"/>
  <c r="H323" i="6"/>
  <c r="G323" i="6"/>
  <c r="E323" i="6"/>
  <c r="I322" i="6"/>
  <c r="H322" i="6"/>
  <c r="G322" i="6"/>
  <c r="E322" i="6"/>
  <c r="I321" i="6"/>
  <c r="H321" i="6"/>
  <c r="G321" i="6"/>
  <c r="E321" i="6"/>
  <c r="I232" i="6"/>
  <c r="H232" i="6"/>
  <c r="E232" i="6"/>
  <c r="I395" i="6"/>
  <c r="H395" i="6"/>
  <c r="G395" i="6"/>
  <c r="E395" i="6"/>
  <c r="I231" i="6"/>
  <c r="H231" i="6"/>
  <c r="E231" i="6"/>
  <c r="I394" i="6"/>
  <c r="H394" i="6"/>
  <c r="G394" i="6"/>
  <c r="E394" i="6"/>
  <c r="I230" i="6"/>
  <c r="H230" i="6"/>
  <c r="E230" i="6"/>
  <c r="I229" i="6"/>
  <c r="H229" i="6"/>
  <c r="E229" i="6"/>
  <c r="I228" i="6"/>
  <c r="H228" i="6"/>
  <c r="E228" i="6"/>
  <c r="I227" i="6"/>
  <c r="H227" i="6"/>
  <c r="E227" i="6"/>
  <c r="I226" i="6"/>
  <c r="H226" i="6"/>
  <c r="E226" i="6"/>
  <c r="I225" i="6"/>
  <c r="H225" i="6"/>
  <c r="E225" i="6"/>
  <c r="I224" i="6"/>
  <c r="H224" i="6"/>
  <c r="E224" i="6"/>
  <c r="I223" i="6"/>
  <c r="H223" i="6"/>
  <c r="E223" i="6"/>
  <c r="I222" i="6"/>
  <c r="H222" i="6"/>
  <c r="E222" i="6"/>
  <c r="I221" i="6"/>
  <c r="H221" i="6"/>
  <c r="E221" i="6"/>
  <c r="I393" i="6"/>
  <c r="H393" i="6"/>
  <c r="G393" i="6"/>
  <c r="E393" i="6"/>
  <c r="I220" i="6"/>
  <c r="H220" i="6"/>
  <c r="E220" i="6"/>
  <c r="I219" i="6"/>
  <c r="H219" i="6"/>
  <c r="E219" i="6"/>
  <c r="I218" i="6"/>
  <c r="H218" i="6"/>
  <c r="E218" i="6"/>
  <c r="I217" i="6"/>
  <c r="H217" i="6"/>
  <c r="E217" i="6"/>
  <c r="I216" i="6"/>
  <c r="H216" i="6"/>
  <c r="E216" i="6"/>
  <c r="I215" i="6"/>
  <c r="H215" i="6"/>
  <c r="E215" i="6"/>
  <c r="I214" i="6"/>
  <c r="H214" i="6"/>
  <c r="E214" i="6"/>
  <c r="I213" i="6"/>
  <c r="H213" i="6"/>
  <c r="E213" i="6"/>
  <c r="I212" i="6"/>
  <c r="H212" i="6"/>
  <c r="E212" i="6"/>
  <c r="I392" i="6"/>
  <c r="H392" i="6"/>
  <c r="G392" i="6"/>
  <c r="E392" i="6"/>
  <c r="I391" i="6"/>
  <c r="H391" i="6"/>
  <c r="G391" i="6"/>
  <c r="E391" i="6"/>
  <c r="I390" i="6"/>
  <c r="H390" i="6"/>
  <c r="G390" i="6"/>
  <c r="E390" i="6"/>
  <c r="I211" i="6"/>
  <c r="H211" i="6"/>
  <c r="E211" i="6"/>
  <c r="I389" i="6"/>
  <c r="H389" i="6"/>
  <c r="G389" i="6"/>
  <c r="E389" i="6"/>
  <c r="I210" i="6"/>
  <c r="H210" i="6"/>
  <c r="E210" i="6"/>
  <c r="I209" i="6"/>
  <c r="H209" i="6"/>
  <c r="E209" i="6"/>
  <c r="I388" i="6"/>
  <c r="H388" i="6"/>
  <c r="G388" i="6"/>
  <c r="E388" i="6"/>
  <c r="I387" i="6"/>
  <c r="H387" i="6"/>
  <c r="G387" i="6"/>
  <c r="E387" i="6"/>
  <c r="I386" i="6"/>
  <c r="H386" i="6"/>
  <c r="G386" i="6"/>
  <c r="E386" i="6"/>
  <c r="I385" i="6"/>
  <c r="H385" i="6"/>
  <c r="G385" i="6"/>
  <c r="E385" i="6"/>
  <c r="I208" i="6"/>
  <c r="H208" i="6"/>
  <c r="E208" i="6"/>
  <c r="I207" i="6"/>
  <c r="H207" i="6"/>
  <c r="E207" i="6"/>
  <c r="I384" i="6"/>
  <c r="H384" i="6"/>
  <c r="G384" i="6"/>
  <c r="E384" i="6"/>
  <c r="I206" i="6"/>
  <c r="H206" i="6"/>
  <c r="E206" i="6"/>
  <c r="I205" i="6"/>
  <c r="H205" i="6"/>
  <c r="E205" i="6"/>
  <c r="I204" i="6"/>
  <c r="H204" i="6"/>
  <c r="I383" i="6"/>
  <c r="H383" i="6"/>
  <c r="G383" i="6"/>
  <c r="E383" i="6"/>
  <c r="I203" i="6"/>
  <c r="H203" i="6"/>
  <c r="E203" i="6"/>
  <c r="I202" i="6"/>
  <c r="H202" i="6"/>
  <c r="E202" i="6"/>
  <c r="I201" i="6"/>
  <c r="H201" i="6"/>
  <c r="E201" i="6"/>
  <c r="I200" i="6"/>
  <c r="H200" i="6"/>
  <c r="E200" i="6"/>
  <c r="I199" i="6"/>
  <c r="H199" i="6"/>
  <c r="E199" i="6"/>
  <c r="I198" i="6"/>
  <c r="H198" i="6"/>
  <c r="E198" i="6"/>
  <c r="I197" i="6"/>
  <c r="H197" i="6"/>
  <c r="E197" i="6"/>
  <c r="I196" i="6"/>
  <c r="H196" i="6"/>
  <c r="E196" i="6"/>
  <c r="I382" i="6"/>
  <c r="H382" i="6"/>
  <c r="G382" i="6"/>
  <c r="E382" i="6"/>
  <c r="I195" i="6"/>
  <c r="H195" i="6"/>
  <c r="E195" i="6"/>
  <c r="I194" i="6"/>
  <c r="H194" i="6"/>
  <c r="E194" i="6"/>
  <c r="I193" i="6"/>
  <c r="H193" i="6"/>
  <c r="E193" i="6"/>
  <c r="I192" i="6"/>
  <c r="H192" i="6"/>
  <c r="E192" i="6"/>
  <c r="I191" i="6"/>
  <c r="H191" i="6"/>
  <c r="E191" i="6"/>
  <c r="I190" i="6"/>
  <c r="H190" i="6"/>
  <c r="E190" i="6"/>
  <c r="I189" i="6"/>
  <c r="H189" i="6"/>
  <c r="E189" i="6"/>
  <c r="I188" i="6"/>
  <c r="H188" i="6"/>
  <c r="E188" i="6"/>
  <c r="I381" i="6"/>
  <c r="H381" i="6"/>
  <c r="G381" i="6"/>
  <c r="E381" i="6"/>
  <c r="I187" i="6"/>
  <c r="H187" i="6"/>
  <c r="E187" i="6"/>
  <c r="I186" i="6"/>
  <c r="H186" i="6"/>
  <c r="E186" i="6"/>
  <c r="I185" i="6"/>
  <c r="H185" i="6"/>
  <c r="E185" i="6"/>
  <c r="I184" i="6"/>
  <c r="H184" i="6"/>
  <c r="E184" i="6"/>
  <c r="I183" i="6"/>
  <c r="H183" i="6"/>
  <c r="E183" i="6"/>
  <c r="I182" i="6"/>
  <c r="H182" i="6"/>
  <c r="E182" i="6"/>
  <c r="I181" i="6"/>
  <c r="H181" i="6"/>
  <c r="E181" i="6"/>
  <c r="I180" i="6"/>
  <c r="H180" i="6"/>
  <c r="E180" i="6"/>
  <c r="I179" i="6"/>
  <c r="H179" i="6"/>
  <c r="E179" i="6"/>
  <c r="I178" i="6"/>
  <c r="H178" i="6"/>
  <c r="E178" i="6"/>
  <c r="I177" i="6"/>
  <c r="H177" i="6"/>
  <c r="E177" i="6"/>
  <c r="I176" i="6"/>
  <c r="H176" i="6"/>
  <c r="E176" i="6"/>
  <c r="I175" i="6"/>
  <c r="H175" i="6"/>
  <c r="E175" i="6"/>
  <c r="I380" i="6"/>
  <c r="H380" i="6"/>
  <c r="G380" i="6"/>
  <c r="E380" i="6"/>
  <c r="I174" i="6"/>
  <c r="H174" i="6"/>
  <c r="E174" i="6"/>
  <c r="I173" i="6"/>
  <c r="H173" i="6"/>
  <c r="E173" i="6"/>
  <c r="I172" i="6"/>
  <c r="H172" i="6"/>
  <c r="E172" i="6"/>
  <c r="I379" i="6"/>
  <c r="H379" i="6"/>
  <c r="G379" i="6"/>
  <c r="E379" i="6"/>
  <c r="I171" i="6"/>
  <c r="H171" i="6"/>
  <c r="E171" i="6"/>
  <c r="I170" i="6"/>
  <c r="H170" i="6"/>
  <c r="E170" i="6"/>
  <c r="I169" i="6"/>
  <c r="H169" i="6"/>
  <c r="E169" i="6"/>
  <c r="I168" i="6"/>
  <c r="H168" i="6"/>
  <c r="E168" i="6"/>
  <c r="I167" i="6"/>
  <c r="H167" i="6"/>
  <c r="E167" i="6"/>
  <c r="I166" i="6"/>
  <c r="H166" i="6"/>
  <c r="E166" i="6"/>
  <c r="I165" i="6"/>
  <c r="H165" i="6"/>
  <c r="E165" i="6"/>
  <c r="I164" i="6"/>
  <c r="H164" i="6"/>
  <c r="E164" i="6"/>
  <c r="I163" i="6"/>
  <c r="H163" i="6"/>
  <c r="E163" i="6"/>
  <c r="I162" i="6"/>
  <c r="H162" i="6"/>
  <c r="E162" i="6"/>
  <c r="I161" i="6"/>
  <c r="H161" i="6"/>
  <c r="E161" i="6"/>
  <c r="I160" i="6"/>
  <c r="H160" i="6"/>
  <c r="E160" i="6"/>
  <c r="I159" i="6"/>
  <c r="H159" i="6"/>
  <c r="E159" i="6"/>
  <c r="I158" i="6"/>
  <c r="H158" i="6"/>
  <c r="E158" i="6"/>
  <c r="I157" i="6"/>
  <c r="H157" i="6"/>
  <c r="E157" i="6"/>
  <c r="I156" i="6"/>
  <c r="H156" i="6"/>
  <c r="E156" i="6"/>
  <c r="I155" i="6"/>
  <c r="H155" i="6"/>
  <c r="E155" i="6"/>
  <c r="I154" i="6"/>
  <c r="H154" i="6"/>
  <c r="E154" i="6"/>
  <c r="I153" i="6"/>
  <c r="H153" i="6"/>
  <c r="E153" i="6"/>
  <c r="I152" i="6"/>
  <c r="H152" i="6"/>
  <c r="E152" i="6"/>
  <c r="I151" i="6"/>
  <c r="H151" i="6"/>
  <c r="E151" i="6"/>
  <c r="I150" i="6"/>
  <c r="H150" i="6"/>
  <c r="E150" i="6"/>
  <c r="I149" i="6"/>
  <c r="H149" i="6"/>
  <c r="E149" i="6"/>
  <c r="I148" i="6"/>
  <c r="H148" i="6"/>
  <c r="E148" i="6"/>
  <c r="I147" i="6"/>
  <c r="H147" i="6"/>
  <c r="E147" i="6"/>
  <c r="I146" i="6"/>
  <c r="H146" i="6"/>
  <c r="E146" i="6"/>
  <c r="I145" i="6"/>
  <c r="H145" i="6"/>
  <c r="E145" i="6"/>
  <c r="I144" i="6"/>
  <c r="H144" i="6"/>
  <c r="E144" i="6"/>
  <c r="I143" i="6"/>
  <c r="H143" i="6"/>
  <c r="E143" i="6"/>
  <c r="I142" i="6"/>
  <c r="H142" i="6"/>
  <c r="E142" i="6"/>
  <c r="I141" i="6"/>
  <c r="H141" i="6"/>
  <c r="E141" i="6"/>
  <c r="I140" i="6"/>
  <c r="H140" i="6"/>
  <c r="E140" i="6"/>
  <c r="I139" i="6"/>
  <c r="H139" i="6"/>
  <c r="E139" i="6"/>
  <c r="I378" i="6"/>
  <c r="H378" i="6"/>
  <c r="G378" i="6"/>
  <c r="E378" i="6"/>
  <c r="I138" i="6"/>
  <c r="H138" i="6"/>
  <c r="E138" i="6"/>
  <c r="I137" i="6"/>
  <c r="H137" i="6"/>
  <c r="E137" i="6"/>
  <c r="I136" i="6"/>
  <c r="H136" i="6"/>
  <c r="E136" i="6"/>
  <c r="I135" i="6"/>
  <c r="H135" i="6"/>
  <c r="E135" i="6"/>
  <c r="I134" i="6"/>
  <c r="H134" i="6"/>
  <c r="E134" i="6"/>
  <c r="I133" i="6"/>
  <c r="H133" i="6"/>
  <c r="E133" i="6"/>
  <c r="I132" i="6"/>
  <c r="H132" i="6"/>
  <c r="E132" i="6"/>
  <c r="I131" i="6"/>
  <c r="H131" i="6"/>
  <c r="E131" i="6"/>
  <c r="I130" i="6"/>
  <c r="H130" i="6"/>
  <c r="E130" i="6"/>
  <c r="I129" i="6"/>
  <c r="H129" i="6"/>
  <c r="E129" i="6"/>
  <c r="I128" i="6"/>
  <c r="H128" i="6"/>
  <c r="E128" i="6"/>
  <c r="I127" i="6"/>
  <c r="H127" i="6"/>
  <c r="E127" i="6"/>
  <c r="I126" i="6"/>
  <c r="H126" i="6"/>
  <c r="E126" i="6"/>
  <c r="I125" i="6"/>
  <c r="H125" i="6"/>
  <c r="E125" i="6"/>
  <c r="I124" i="6"/>
  <c r="H124" i="6"/>
  <c r="E124" i="6"/>
  <c r="I123" i="6"/>
  <c r="H123" i="6"/>
  <c r="E123" i="6"/>
  <c r="I122" i="6"/>
  <c r="H122" i="6"/>
  <c r="E122" i="6"/>
  <c r="I121" i="6"/>
  <c r="H121" i="6"/>
  <c r="E121" i="6"/>
  <c r="I120" i="6"/>
  <c r="H120" i="6"/>
  <c r="E120" i="6"/>
  <c r="I119" i="6"/>
  <c r="H119" i="6"/>
  <c r="E119" i="6"/>
  <c r="I118" i="6"/>
  <c r="H118" i="6"/>
  <c r="E118" i="6"/>
  <c r="I117" i="6"/>
  <c r="H117" i="6"/>
  <c r="E117" i="6"/>
  <c r="I116" i="6"/>
  <c r="H116" i="6"/>
  <c r="E116" i="6"/>
  <c r="I115" i="6"/>
  <c r="H115" i="6"/>
  <c r="E115" i="6"/>
  <c r="I114" i="6"/>
  <c r="H114" i="6"/>
  <c r="E114" i="6"/>
  <c r="I113" i="6"/>
  <c r="H113" i="6"/>
  <c r="E113" i="6"/>
  <c r="I377" i="6"/>
  <c r="H377" i="6"/>
  <c r="G377" i="6"/>
  <c r="E377" i="6"/>
  <c r="I112" i="6"/>
  <c r="H112" i="6"/>
  <c r="E112" i="6"/>
  <c r="I111" i="6"/>
  <c r="H111" i="6"/>
  <c r="E111" i="6"/>
  <c r="I110" i="6"/>
  <c r="H110" i="6"/>
  <c r="E110" i="6"/>
  <c r="I376" i="6"/>
  <c r="H376" i="6"/>
  <c r="G376" i="6"/>
  <c r="E376" i="6"/>
  <c r="I109" i="6"/>
  <c r="H109" i="6"/>
  <c r="E109" i="6"/>
  <c r="I108" i="6"/>
  <c r="H108" i="6"/>
  <c r="E108" i="6"/>
  <c r="I107" i="6"/>
  <c r="H107" i="6"/>
  <c r="E107" i="6"/>
  <c r="I106" i="6"/>
  <c r="H106" i="6"/>
  <c r="E106" i="6"/>
  <c r="I105" i="6"/>
  <c r="H105" i="6"/>
  <c r="E105" i="6"/>
  <c r="I104" i="6"/>
  <c r="H104" i="6"/>
  <c r="E104" i="6"/>
  <c r="I103" i="6"/>
  <c r="H103" i="6"/>
  <c r="E103" i="6"/>
  <c r="I102" i="6"/>
  <c r="H102" i="6"/>
  <c r="E102" i="6"/>
  <c r="I101" i="6"/>
  <c r="H101" i="6"/>
  <c r="E101" i="6"/>
  <c r="I100" i="6"/>
  <c r="H100" i="6"/>
  <c r="E100" i="6"/>
  <c r="I99" i="6"/>
  <c r="H99" i="6"/>
  <c r="E99" i="6"/>
  <c r="I98" i="6"/>
  <c r="H98" i="6"/>
  <c r="E98" i="6"/>
  <c r="I97" i="6"/>
  <c r="H97" i="6"/>
  <c r="E97" i="6"/>
  <c r="I96" i="6"/>
  <c r="H96" i="6"/>
  <c r="E96" i="6"/>
  <c r="I95" i="6"/>
  <c r="H95" i="6"/>
  <c r="E95" i="6"/>
  <c r="I320" i="6"/>
  <c r="H320" i="6"/>
  <c r="G320" i="6"/>
  <c r="E320" i="6"/>
  <c r="I375" i="6"/>
  <c r="H375" i="6"/>
  <c r="G375" i="6"/>
  <c r="E375" i="6"/>
  <c r="I374" i="6"/>
  <c r="H374" i="6"/>
  <c r="G374" i="6"/>
  <c r="E374" i="6"/>
  <c r="I373" i="6"/>
  <c r="H373" i="6"/>
  <c r="G373" i="6"/>
  <c r="E373" i="6"/>
  <c r="I372" i="6"/>
  <c r="H372" i="6"/>
  <c r="G372" i="6"/>
  <c r="E372" i="6"/>
  <c r="I94" i="6"/>
  <c r="H94" i="6"/>
  <c r="E94" i="6"/>
  <c r="I93" i="6"/>
  <c r="H93" i="6"/>
  <c r="E93" i="6"/>
  <c r="I371" i="6"/>
  <c r="H371" i="6"/>
  <c r="G371" i="6"/>
  <c r="E371" i="6"/>
  <c r="I370" i="6"/>
  <c r="H370" i="6"/>
  <c r="G370" i="6"/>
  <c r="E370" i="6"/>
  <c r="I369" i="6"/>
  <c r="H369" i="6"/>
  <c r="G369" i="6"/>
  <c r="E369" i="6"/>
  <c r="I368" i="6"/>
  <c r="H368" i="6"/>
  <c r="G368" i="6"/>
  <c r="E368" i="6"/>
  <c r="I367" i="6"/>
  <c r="H367" i="6"/>
  <c r="G367" i="6"/>
  <c r="E367" i="6"/>
  <c r="I366" i="6"/>
  <c r="H366" i="6"/>
  <c r="G366" i="6"/>
  <c r="E366" i="6"/>
  <c r="I365" i="6"/>
  <c r="H365" i="6"/>
  <c r="G365" i="6"/>
  <c r="E365" i="6"/>
  <c r="I92" i="6"/>
  <c r="H92" i="6"/>
  <c r="E92" i="6"/>
  <c r="I91" i="6"/>
  <c r="H91" i="6"/>
  <c r="E91" i="6"/>
  <c r="I364" i="6"/>
  <c r="H364" i="6"/>
  <c r="G364" i="6"/>
  <c r="E364" i="6"/>
  <c r="I90" i="6"/>
  <c r="H90" i="6"/>
  <c r="E90" i="6"/>
  <c r="I363" i="6"/>
  <c r="H363" i="6"/>
  <c r="G363" i="6"/>
  <c r="E363" i="6"/>
  <c r="I362" i="6"/>
  <c r="H362" i="6"/>
  <c r="G362" i="6"/>
  <c r="E362" i="6"/>
  <c r="I361" i="6"/>
  <c r="H361" i="6"/>
  <c r="G361" i="6"/>
  <c r="E361" i="6"/>
  <c r="I360" i="6"/>
  <c r="H360" i="6"/>
  <c r="G360" i="6"/>
  <c r="E360" i="6"/>
  <c r="I89" i="6"/>
  <c r="H89" i="6"/>
  <c r="E89" i="6"/>
  <c r="I88" i="6"/>
  <c r="H88" i="6"/>
  <c r="E88" i="6"/>
  <c r="I87" i="6"/>
  <c r="H87" i="6"/>
  <c r="E87" i="6"/>
  <c r="I86" i="6"/>
  <c r="H86" i="6"/>
  <c r="E86" i="6"/>
  <c r="I85" i="6"/>
  <c r="H85" i="6"/>
  <c r="E85" i="6"/>
  <c r="I84" i="6"/>
  <c r="H84" i="6"/>
  <c r="E84" i="6"/>
  <c r="I83" i="6"/>
  <c r="H83" i="6"/>
  <c r="E83" i="6"/>
  <c r="I82" i="6"/>
  <c r="H82" i="6"/>
  <c r="E82" i="6"/>
  <c r="I81" i="6"/>
  <c r="H81" i="6"/>
  <c r="E81" i="6"/>
  <c r="I80" i="6"/>
  <c r="H80" i="6"/>
  <c r="E80" i="6"/>
  <c r="I79" i="6"/>
  <c r="H79" i="6"/>
  <c r="E79" i="6"/>
  <c r="I359" i="6"/>
  <c r="H359" i="6"/>
  <c r="G359" i="6"/>
  <c r="E359" i="6"/>
  <c r="I358" i="6"/>
  <c r="H358" i="6"/>
  <c r="G358" i="6"/>
  <c r="E358" i="6"/>
  <c r="I78" i="6"/>
  <c r="H78" i="6"/>
  <c r="E78" i="6"/>
  <c r="I77" i="6"/>
  <c r="H77" i="6"/>
  <c r="E77" i="6"/>
  <c r="I76" i="6"/>
  <c r="H76" i="6"/>
  <c r="E76" i="6"/>
  <c r="I75" i="6"/>
  <c r="H75" i="6"/>
  <c r="E75" i="6"/>
  <c r="I74" i="6"/>
  <c r="H74" i="6"/>
  <c r="E74" i="6"/>
  <c r="I73" i="6"/>
  <c r="H73" i="6"/>
  <c r="E73" i="6"/>
  <c r="I72" i="6"/>
  <c r="H72" i="6"/>
  <c r="E72" i="6"/>
  <c r="I71" i="6"/>
  <c r="H71" i="6"/>
  <c r="E71" i="6"/>
  <c r="I70" i="6"/>
  <c r="H70" i="6"/>
  <c r="E70" i="6"/>
  <c r="I69" i="6"/>
  <c r="H69" i="6"/>
  <c r="E69" i="6"/>
  <c r="I68" i="6"/>
  <c r="H68" i="6"/>
  <c r="E68" i="6"/>
  <c r="I67" i="6"/>
  <c r="H67" i="6"/>
  <c r="E67" i="6"/>
  <c r="I66" i="6"/>
  <c r="H66" i="6"/>
  <c r="E66" i="6"/>
  <c r="I65" i="6"/>
  <c r="H65" i="6"/>
  <c r="E65" i="6"/>
  <c r="I64" i="6"/>
  <c r="H64" i="6"/>
  <c r="E64" i="6"/>
  <c r="I63" i="6"/>
  <c r="H63" i="6"/>
  <c r="E63" i="6"/>
  <c r="I62" i="6"/>
  <c r="H62" i="6"/>
  <c r="E62" i="6"/>
  <c r="I61" i="6"/>
  <c r="H61" i="6"/>
  <c r="E61" i="6"/>
  <c r="I60" i="6"/>
  <c r="H60" i="6"/>
  <c r="E60" i="6"/>
  <c r="I59" i="6"/>
  <c r="H59" i="6"/>
  <c r="E59" i="6"/>
  <c r="I58" i="6"/>
  <c r="H58" i="6"/>
  <c r="E58" i="6"/>
  <c r="I57" i="6"/>
  <c r="H57" i="6"/>
  <c r="E57" i="6"/>
  <c r="I56" i="6"/>
  <c r="H56" i="6"/>
  <c r="E56" i="6"/>
  <c r="I55" i="6"/>
  <c r="H55" i="6"/>
  <c r="E55" i="6"/>
  <c r="I54" i="6"/>
  <c r="H54" i="6"/>
  <c r="E54" i="6"/>
  <c r="I53" i="6"/>
  <c r="H53" i="6"/>
  <c r="E53" i="6"/>
  <c r="I52" i="6"/>
  <c r="H52" i="6"/>
  <c r="E52" i="6"/>
  <c r="I51" i="6"/>
  <c r="H51" i="6"/>
  <c r="E51" i="6"/>
  <c r="I357" i="6"/>
  <c r="H357" i="6"/>
  <c r="G357" i="6"/>
  <c r="E357" i="6"/>
  <c r="I356" i="6"/>
  <c r="H356" i="6"/>
  <c r="G356" i="6"/>
  <c r="E356" i="6"/>
  <c r="I50" i="6"/>
  <c r="H50" i="6"/>
  <c r="E50" i="6"/>
  <c r="I49" i="6"/>
  <c r="H49" i="6"/>
  <c r="E49" i="6"/>
  <c r="I48" i="6"/>
  <c r="H48" i="6"/>
  <c r="E48" i="6"/>
  <c r="I47" i="6"/>
  <c r="H47" i="6"/>
  <c r="E47" i="6"/>
  <c r="I355" i="6"/>
  <c r="H355" i="6"/>
  <c r="G355" i="6"/>
  <c r="E355" i="6"/>
  <c r="I46" i="6"/>
  <c r="H46" i="6"/>
  <c r="E46" i="6"/>
  <c r="I354" i="6"/>
  <c r="H354" i="6"/>
  <c r="G354" i="6"/>
  <c r="E354" i="6"/>
  <c r="I44" i="6"/>
  <c r="H44" i="6"/>
  <c r="E44" i="6"/>
  <c r="I43" i="6"/>
  <c r="H43" i="6"/>
  <c r="E43" i="6"/>
  <c r="I42" i="6"/>
  <c r="H42" i="6"/>
  <c r="E42" i="6"/>
  <c r="I353" i="6"/>
  <c r="H353" i="6"/>
  <c r="G353" i="6"/>
  <c r="E353" i="6"/>
  <c r="I352" i="6"/>
  <c r="H352" i="6"/>
  <c r="G352" i="6"/>
  <c r="E352" i="6"/>
  <c r="I40" i="6"/>
  <c r="H40" i="6"/>
  <c r="E40" i="6"/>
  <c r="I39" i="6"/>
  <c r="H39" i="6"/>
  <c r="E39" i="6"/>
  <c r="I38" i="6"/>
  <c r="H38" i="6"/>
  <c r="E38" i="6"/>
  <c r="I351" i="6"/>
  <c r="H351" i="6"/>
  <c r="G351" i="6"/>
  <c r="E351" i="6"/>
  <c r="I36" i="6"/>
  <c r="H36" i="6"/>
  <c r="E36" i="6"/>
  <c r="I35" i="6"/>
  <c r="H35" i="6"/>
  <c r="E35" i="6"/>
  <c r="I34" i="6"/>
  <c r="H34" i="6"/>
  <c r="E34" i="6"/>
  <c r="I33" i="6"/>
  <c r="H33" i="6"/>
  <c r="E33" i="6"/>
  <c r="I32" i="6"/>
  <c r="H32" i="6"/>
  <c r="E32" i="6"/>
  <c r="I31" i="6"/>
  <c r="H31" i="6"/>
  <c r="E31" i="6"/>
  <c r="I30" i="6"/>
  <c r="H30" i="6"/>
  <c r="E30" i="6"/>
  <c r="I29" i="6"/>
  <c r="H29" i="6"/>
  <c r="E29" i="6"/>
  <c r="I28" i="6"/>
  <c r="H28" i="6"/>
  <c r="E28" i="6"/>
  <c r="I27" i="6"/>
  <c r="H27" i="6"/>
  <c r="E27" i="6"/>
  <c r="I26" i="6"/>
  <c r="H26" i="6"/>
  <c r="E26" i="6"/>
  <c r="I25" i="6"/>
  <c r="H25" i="6"/>
  <c r="E25" i="6"/>
  <c r="I24" i="6"/>
  <c r="H24" i="6"/>
  <c r="E24" i="6"/>
  <c r="I23" i="6"/>
  <c r="H23" i="6"/>
  <c r="E23" i="6"/>
  <c r="I22" i="6"/>
  <c r="H22" i="6"/>
  <c r="E22" i="6"/>
  <c r="I21" i="6"/>
  <c r="H21" i="6"/>
  <c r="E21" i="6"/>
  <c r="I20" i="6"/>
  <c r="H20" i="6"/>
  <c r="E20" i="6"/>
  <c r="I19" i="6"/>
  <c r="H19" i="6"/>
  <c r="E19" i="6"/>
  <c r="I18" i="6"/>
  <c r="H18" i="6"/>
  <c r="E18" i="6"/>
  <c r="I17" i="6"/>
  <c r="H17" i="6"/>
  <c r="E17" i="6"/>
  <c r="I16" i="6"/>
  <c r="H16" i="6"/>
  <c r="E16" i="6"/>
  <c r="I15" i="6"/>
  <c r="H15" i="6"/>
  <c r="E15" i="6"/>
  <c r="I14" i="6"/>
  <c r="H14" i="6"/>
  <c r="E14" i="6"/>
  <c r="I13" i="6"/>
  <c r="H13" i="6"/>
  <c r="E13" i="6"/>
  <c r="I12" i="6"/>
  <c r="H12" i="6"/>
  <c r="E12" i="6"/>
  <c r="I11" i="6"/>
  <c r="H11" i="6"/>
  <c r="E11" i="6"/>
  <c r="I10" i="6"/>
  <c r="H10" i="6"/>
  <c r="E10" i="6"/>
  <c r="I350" i="6"/>
  <c r="H350" i="6"/>
  <c r="G350" i="6"/>
  <c r="E350" i="6"/>
  <c r="I349" i="6"/>
  <c r="H349" i="6"/>
  <c r="G349" i="6"/>
  <c r="E349" i="6"/>
  <c r="I9" i="6"/>
  <c r="H9" i="6"/>
  <c r="E9" i="6"/>
  <c r="I8" i="6"/>
  <c r="H8" i="6"/>
  <c r="E8" i="6"/>
  <c r="I7" i="6"/>
  <c r="H7" i="6"/>
  <c r="E7" i="6"/>
  <c r="I6" i="6"/>
  <c r="H6" i="6"/>
  <c r="E6" i="6"/>
  <c r="I5" i="6"/>
  <c r="H5" i="6"/>
  <c r="E5" i="6"/>
  <c r="I4" i="6"/>
  <c r="H4" i="6"/>
  <c r="E4" i="6"/>
  <c r="I3" i="6"/>
  <c r="H3" i="6"/>
  <c r="E3" i="6"/>
  <c r="I2" i="6"/>
  <c r="H2" i="6"/>
  <c r="E2" i="6"/>
  <c r="I332" i="8" l="1"/>
  <c r="H332" i="8"/>
  <c r="E332" i="8"/>
  <c r="I331" i="8"/>
  <c r="H331" i="8"/>
  <c r="E331" i="8"/>
  <c r="I330" i="8"/>
  <c r="H330" i="8"/>
  <c r="E330" i="8"/>
  <c r="I329" i="8"/>
  <c r="H329" i="8"/>
  <c r="E329" i="8"/>
  <c r="I328" i="8"/>
  <c r="H328" i="8"/>
  <c r="E328" i="8"/>
  <c r="I327" i="8"/>
  <c r="H327" i="8"/>
  <c r="E327" i="8"/>
  <c r="I326" i="8"/>
  <c r="H326" i="8"/>
  <c r="E326" i="8"/>
  <c r="I325" i="8"/>
  <c r="H325" i="8"/>
  <c r="E325" i="8"/>
  <c r="I324" i="8"/>
  <c r="H324" i="8"/>
  <c r="E324" i="8"/>
  <c r="I323" i="8"/>
  <c r="H323" i="8"/>
  <c r="E323" i="8"/>
  <c r="I322" i="8"/>
  <c r="H322" i="8"/>
  <c r="E322" i="8"/>
  <c r="I321" i="8"/>
  <c r="H321" i="8"/>
  <c r="E321" i="8"/>
  <c r="I449" i="8"/>
  <c r="H449" i="8"/>
  <c r="G449" i="8"/>
  <c r="E449" i="8"/>
  <c r="I320" i="8"/>
  <c r="H320" i="8"/>
  <c r="E320" i="8"/>
  <c r="I319" i="8"/>
  <c r="H319" i="8"/>
  <c r="E319" i="8"/>
  <c r="I318" i="8"/>
  <c r="H318" i="8"/>
  <c r="E318" i="8"/>
  <c r="I317" i="8"/>
  <c r="H317" i="8"/>
  <c r="E317" i="8"/>
  <c r="I316" i="8"/>
  <c r="H316" i="8"/>
  <c r="E316" i="8"/>
  <c r="I315" i="8"/>
  <c r="H315" i="8"/>
  <c r="E315" i="8"/>
  <c r="I314" i="8"/>
  <c r="H314" i="8"/>
  <c r="E314" i="8"/>
  <c r="I313" i="8"/>
  <c r="H313" i="8"/>
  <c r="E313" i="8"/>
  <c r="I312" i="8"/>
  <c r="H312" i="8"/>
  <c r="E312" i="8"/>
  <c r="I311" i="8"/>
  <c r="H311" i="8"/>
  <c r="E311" i="8"/>
  <c r="I310" i="8"/>
  <c r="H310" i="8"/>
  <c r="E310" i="8"/>
  <c r="I309" i="8"/>
  <c r="H309" i="8"/>
  <c r="E309" i="8"/>
  <c r="I308" i="8"/>
  <c r="H308" i="8"/>
  <c r="E308" i="8"/>
  <c r="I307" i="8"/>
  <c r="H307" i="8"/>
  <c r="E307" i="8"/>
  <c r="I306" i="8"/>
  <c r="H306" i="8"/>
  <c r="E306" i="8"/>
  <c r="I305" i="8"/>
  <c r="H305" i="8"/>
  <c r="E305" i="8"/>
  <c r="I304" i="8"/>
  <c r="H304" i="8"/>
  <c r="E304" i="8"/>
  <c r="I303" i="8"/>
  <c r="H303" i="8"/>
  <c r="E303" i="8"/>
  <c r="I302" i="8"/>
  <c r="H302" i="8"/>
  <c r="E302" i="8"/>
  <c r="I301" i="8"/>
  <c r="H301" i="8"/>
  <c r="E301" i="8"/>
  <c r="I300" i="8"/>
  <c r="H300" i="8"/>
  <c r="E300" i="8"/>
  <c r="I299" i="8"/>
  <c r="H299" i="8"/>
  <c r="E299" i="8"/>
  <c r="I298" i="8"/>
  <c r="H298" i="8"/>
  <c r="E298" i="8"/>
  <c r="I297" i="8"/>
  <c r="H297" i="8"/>
  <c r="E297" i="8"/>
  <c r="I448" i="8"/>
  <c r="H448" i="8"/>
  <c r="G448" i="8"/>
  <c r="E448" i="8"/>
  <c r="I296" i="8"/>
  <c r="H296" i="8"/>
  <c r="E296" i="8"/>
  <c r="I295" i="8"/>
  <c r="H295" i="8"/>
  <c r="E295" i="8"/>
  <c r="I294" i="8"/>
  <c r="H294" i="8"/>
  <c r="E294" i="8"/>
  <c r="I293" i="8"/>
  <c r="H293" i="8"/>
  <c r="E293" i="8"/>
  <c r="I292" i="8"/>
  <c r="H292" i="8"/>
  <c r="E292" i="8"/>
  <c r="I291" i="8"/>
  <c r="H291" i="8"/>
  <c r="E291" i="8"/>
  <c r="I290" i="8"/>
  <c r="H290" i="8"/>
  <c r="E290" i="8"/>
  <c r="I289" i="8"/>
  <c r="H289" i="8"/>
  <c r="E289" i="8"/>
  <c r="I288" i="8"/>
  <c r="H288" i="8"/>
  <c r="E288" i="8"/>
  <c r="I287" i="8"/>
  <c r="H287" i="8"/>
  <c r="E287" i="8"/>
  <c r="I286" i="8"/>
  <c r="H286" i="8"/>
  <c r="E286" i="8"/>
  <c r="I285" i="8"/>
  <c r="H285" i="8"/>
  <c r="E285" i="8"/>
  <c r="I284" i="8"/>
  <c r="H284" i="8"/>
  <c r="E284" i="8"/>
  <c r="I283" i="8"/>
  <c r="H283" i="8"/>
  <c r="E283" i="8"/>
  <c r="I282" i="8"/>
  <c r="H282" i="8"/>
  <c r="E282" i="8"/>
  <c r="I281" i="8"/>
  <c r="H281" i="8"/>
  <c r="E281" i="8"/>
  <c r="I280" i="8"/>
  <c r="H280" i="8"/>
  <c r="E280" i="8"/>
  <c r="I279" i="8"/>
  <c r="H279" i="8"/>
  <c r="E279" i="8"/>
  <c r="I278" i="8"/>
  <c r="H278" i="8"/>
  <c r="E278" i="8"/>
  <c r="I277" i="8"/>
  <c r="H277" i="8"/>
  <c r="E277" i="8"/>
  <c r="I276" i="8"/>
  <c r="H276" i="8"/>
  <c r="E276" i="8"/>
  <c r="I447" i="8"/>
  <c r="H447" i="8"/>
  <c r="G447" i="8"/>
  <c r="E447" i="8"/>
  <c r="I446" i="8"/>
  <c r="H446" i="8"/>
  <c r="G446" i="8"/>
  <c r="E446" i="8"/>
  <c r="I445" i="8"/>
  <c r="H445" i="8"/>
  <c r="G445" i="8"/>
  <c r="E445" i="8"/>
  <c r="I275" i="8"/>
  <c r="H275" i="8"/>
  <c r="E275" i="8"/>
  <c r="I444" i="8"/>
  <c r="H444" i="8"/>
  <c r="G444" i="8"/>
  <c r="E444" i="8"/>
  <c r="I274" i="8"/>
  <c r="H274" i="8"/>
  <c r="E274" i="8"/>
  <c r="I273" i="8"/>
  <c r="H273" i="8"/>
  <c r="E273" i="8"/>
  <c r="I272" i="8"/>
  <c r="H272" i="8"/>
  <c r="E272" i="8"/>
  <c r="I271" i="8"/>
  <c r="H271" i="8"/>
  <c r="E271" i="8"/>
  <c r="I270" i="8"/>
  <c r="H270" i="8"/>
  <c r="E270" i="8"/>
  <c r="I269" i="8"/>
  <c r="H269" i="8"/>
  <c r="E269" i="8"/>
  <c r="I268" i="8"/>
  <c r="H268" i="8"/>
  <c r="E268" i="8"/>
  <c r="I267" i="8"/>
  <c r="H267" i="8"/>
  <c r="E267" i="8"/>
  <c r="I266" i="8"/>
  <c r="H266" i="8"/>
  <c r="E266" i="8"/>
  <c r="I265" i="8"/>
  <c r="H265" i="8"/>
  <c r="E265" i="8"/>
  <c r="I264" i="8"/>
  <c r="H264" i="8"/>
  <c r="E264" i="8"/>
  <c r="I263" i="8"/>
  <c r="H263" i="8"/>
  <c r="E263" i="8"/>
  <c r="I262" i="8"/>
  <c r="H262" i="8"/>
  <c r="E262" i="8"/>
  <c r="I261" i="8"/>
  <c r="H261" i="8"/>
  <c r="E261" i="8"/>
  <c r="I260" i="8"/>
  <c r="H260" i="8"/>
  <c r="E260" i="8"/>
  <c r="I259" i="8"/>
  <c r="H259" i="8"/>
  <c r="E259" i="8"/>
  <c r="I258" i="8"/>
  <c r="H258" i="8"/>
  <c r="E258" i="8"/>
  <c r="I257" i="8"/>
  <c r="H257" i="8"/>
  <c r="E257" i="8"/>
  <c r="I256" i="8"/>
  <c r="H256" i="8"/>
  <c r="E256" i="8"/>
  <c r="I255" i="8"/>
  <c r="H255" i="8"/>
  <c r="E255" i="8"/>
  <c r="I254" i="8"/>
  <c r="H254" i="8"/>
  <c r="E254" i="8"/>
  <c r="I253" i="8"/>
  <c r="H253" i="8"/>
  <c r="E253" i="8"/>
  <c r="I443" i="8"/>
  <c r="H443" i="8"/>
  <c r="G443" i="8"/>
  <c r="E443" i="8"/>
  <c r="I442" i="8"/>
  <c r="H442" i="8"/>
  <c r="G442" i="8"/>
  <c r="E442" i="8"/>
  <c r="I252" i="8"/>
  <c r="H252" i="8"/>
  <c r="E252" i="8"/>
  <c r="I441" i="8"/>
  <c r="H441" i="8"/>
  <c r="G441" i="8"/>
  <c r="E441" i="8"/>
  <c r="I251" i="8"/>
  <c r="H251" i="8"/>
  <c r="E251" i="8"/>
  <c r="I440" i="8"/>
  <c r="H440" i="8"/>
  <c r="G440" i="8"/>
  <c r="E440" i="8"/>
  <c r="I250" i="8"/>
  <c r="H250" i="8"/>
  <c r="E250" i="8"/>
  <c r="I439" i="8"/>
  <c r="H439" i="8"/>
  <c r="G439" i="8"/>
  <c r="E439" i="8"/>
  <c r="I438" i="8"/>
  <c r="H438" i="8"/>
  <c r="G438" i="8"/>
  <c r="E438" i="8"/>
  <c r="I249" i="8"/>
  <c r="H249" i="8"/>
  <c r="E249" i="8"/>
  <c r="I248" i="8"/>
  <c r="H248" i="8"/>
  <c r="E248" i="8"/>
  <c r="I247" i="8"/>
  <c r="H247" i="8"/>
  <c r="E247" i="8"/>
  <c r="I246" i="8"/>
  <c r="H246" i="8"/>
  <c r="E246" i="8"/>
  <c r="I245" i="8"/>
  <c r="H245" i="8"/>
  <c r="E245" i="8"/>
  <c r="I244" i="8"/>
  <c r="H244" i="8"/>
  <c r="E244" i="8"/>
  <c r="I437" i="8"/>
  <c r="H437" i="8"/>
  <c r="G437" i="8"/>
  <c r="E437" i="8"/>
  <c r="I243" i="8"/>
  <c r="H243" i="8"/>
  <c r="E243" i="8"/>
  <c r="I436" i="8"/>
  <c r="H436" i="8"/>
  <c r="G436" i="8"/>
  <c r="E436" i="8"/>
  <c r="I242" i="8"/>
  <c r="H242" i="8"/>
  <c r="E242" i="8"/>
  <c r="I241" i="8"/>
  <c r="H241" i="8"/>
  <c r="E241" i="8"/>
  <c r="I435" i="8"/>
  <c r="H435" i="8"/>
  <c r="G435" i="8"/>
  <c r="E435" i="8"/>
  <c r="I434" i="8"/>
  <c r="H434" i="8"/>
  <c r="G434" i="8"/>
  <c r="E434" i="8"/>
  <c r="I240" i="8"/>
  <c r="H240" i="8"/>
  <c r="E240" i="8"/>
  <c r="I433" i="8"/>
  <c r="H433" i="8"/>
  <c r="G433" i="8"/>
  <c r="E433" i="8"/>
  <c r="I432" i="8"/>
  <c r="H432" i="8"/>
  <c r="G432" i="8"/>
  <c r="E432" i="8"/>
  <c r="I431" i="8"/>
  <c r="H431" i="8"/>
  <c r="G431" i="8"/>
  <c r="E431" i="8"/>
  <c r="I239" i="8"/>
  <c r="H239" i="8"/>
  <c r="E239" i="8"/>
  <c r="I430" i="8"/>
  <c r="H430" i="8"/>
  <c r="G430" i="8"/>
  <c r="E430" i="8"/>
  <c r="I238" i="8"/>
  <c r="H238" i="8"/>
  <c r="E238" i="8"/>
  <c r="I429" i="8"/>
  <c r="H429" i="8"/>
  <c r="G429" i="8"/>
  <c r="E429" i="8"/>
  <c r="I237" i="8"/>
  <c r="H237" i="8"/>
  <c r="E237" i="8"/>
  <c r="I428" i="8"/>
  <c r="H428" i="8"/>
  <c r="G428" i="8"/>
  <c r="E428" i="8"/>
  <c r="I427" i="8"/>
  <c r="H427" i="8"/>
  <c r="G427" i="8"/>
  <c r="E427" i="8"/>
  <c r="I426" i="8"/>
  <c r="H426" i="8"/>
  <c r="G426" i="8"/>
  <c r="E426" i="8"/>
  <c r="I236" i="8"/>
  <c r="H236" i="8"/>
  <c r="E236" i="8"/>
  <c r="I235" i="8"/>
  <c r="H235" i="8"/>
  <c r="E235" i="8"/>
  <c r="I234" i="8"/>
  <c r="H234" i="8"/>
  <c r="E234" i="8"/>
  <c r="I233" i="8"/>
  <c r="H233" i="8"/>
  <c r="E233" i="8"/>
  <c r="I425" i="8"/>
  <c r="H425" i="8"/>
  <c r="G425" i="8"/>
  <c r="E425" i="8"/>
  <c r="I424" i="8"/>
  <c r="H424" i="8"/>
  <c r="G424" i="8"/>
  <c r="E424" i="8"/>
  <c r="I232" i="8"/>
  <c r="H232" i="8"/>
  <c r="E232" i="8"/>
  <c r="I231" i="8"/>
  <c r="H231" i="8"/>
  <c r="E231" i="8"/>
  <c r="I230" i="8"/>
  <c r="H230" i="8"/>
  <c r="E230" i="8"/>
  <c r="I229" i="8"/>
  <c r="H229" i="8"/>
  <c r="E229" i="8"/>
  <c r="I423" i="8"/>
  <c r="H423" i="8"/>
  <c r="G423" i="8"/>
  <c r="E423" i="8"/>
  <c r="I422" i="8"/>
  <c r="H422" i="8"/>
  <c r="G422" i="8"/>
  <c r="E422" i="8"/>
  <c r="I228" i="8"/>
  <c r="H228" i="8"/>
  <c r="E228" i="8"/>
  <c r="I227" i="8"/>
  <c r="H227" i="8"/>
  <c r="E227" i="8"/>
  <c r="I226" i="8"/>
  <c r="H226" i="8"/>
  <c r="E226" i="8"/>
  <c r="I225" i="8"/>
  <c r="H225" i="8"/>
  <c r="E225" i="8"/>
  <c r="I224" i="8"/>
  <c r="H224" i="8"/>
  <c r="E224" i="8"/>
  <c r="I421" i="8"/>
  <c r="H421" i="8"/>
  <c r="G421" i="8"/>
  <c r="E421" i="8"/>
  <c r="I420" i="8"/>
  <c r="H420" i="8"/>
  <c r="G420" i="8"/>
  <c r="E420" i="8"/>
  <c r="I223" i="8"/>
  <c r="H223" i="8"/>
  <c r="E223" i="8"/>
  <c r="I222" i="8"/>
  <c r="H222" i="8"/>
  <c r="E222" i="8"/>
  <c r="I419" i="8"/>
  <c r="H419" i="8"/>
  <c r="G419" i="8"/>
  <c r="E419" i="8"/>
  <c r="I418" i="8"/>
  <c r="H418" i="8"/>
  <c r="G418" i="8"/>
  <c r="E418" i="8"/>
  <c r="I417" i="8"/>
  <c r="H417" i="8"/>
  <c r="G417" i="8"/>
  <c r="E417" i="8"/>
  <c r="I416" i="8"/>
  <c r="H416" i="8"/>
  <c r="G416" i="8"/>
  <c r="E416" i="8"/>
  <c r="I221" i="8"/>
  <c r="H221" i="8"/>
  <c r="E221" i="8"/>
  <c r="I220" i="8"/>
  <c r="H220" i="8"/>
  <c r="E220" i="8"/>
  <c r="I219" i="8"/>
  <c r="H219" i="8"/>
  <c r="E219" i="8"/>
  <c r="I218" i="8"/>
  <c r="H218" i="8"/>
  <c r="E218" i="8"/>
  <c r="I217" i="8"/>
  <c r="H217" i="8"/>
  <c r="E217" i="8"/>
  <c r="I415" i="8"/>
  <c r="H415" i="8"/>
  <c r="G415" i="8"/>
  <c r="E415" i="8"/>
  <c r="I414" i="8"/>
  <c r="H414" i="8"/>
  <c r="G414" i="8"/>
  <c r="E414" i="8"/>
  <c r="I413" i="8"/>
  <c r="H413" i="8"/>
  <c r="G413" i="8"/>
  <c r="E413" i="8"/>
  <c r="I412" i="8"/>
  <c r="H412" i="8"/>
  <c r="G412" i="8"/>
  <c r="E412" i="8"/>
  <c r="I216" i="8"/>
  <c r="H216" i="8"/>
  <c r="E216" i="8"/>
  <c r="I411" i="8"/>
  <c r="H411" i="8"/>
  <c r="G411" i="8"/>
  <c r="E411" i="8"/>
  <c r="I215" i="8"/>
  <c r="H215" i="8"/>
  <c r="E215" i="8"/>
  <c r="I214" i="8"/>
  <c r="H214" i="8"/>
  <c r="E214" i="8"/>
  <c r="I410" i="8"/>
  <c r="H410" i="8"/>
  <c r="G410" i="8"/>
  <c r="E410" i="8"/>
  <c r="I213" i="8"/>
  <c r="H213" i="8"/>
  <c r="E213" i="8"/>
  <c r="I212" i="8"/>
  <c r="H212" i="8"/>
  <c r="E212" i="8"/>
  <c r="I211" i="8"/>
  <c r="H211" i="8"/>
  <c r="E211" i="8"/>
  <c r="I210" i="8"/>
  <c r="H210" i="8"/>
  <c r="E210" i="8"/>
  <c r="I209" i="8"/>
  <c r="H209" i="8"/>
  <c r="E209" i="8"/>
  <c r="I208" i="8"/>
  <c r="H208" i="8"/>
  <c r="E208" i="8"/>
  <c r="I207" i="8"/>
  <c r="H207" i="8"/>
  <c r="E207" i="8"/>
  <c r="I206" i="8"/>
  <c r="H206" i="8"/>
  <c r="E206" i="8"/>
  <c r="I205" i="8"/>
  <c r="H205" i="8"/>
  <c r="E205" i="8"/>
  <c r="I204" i="8"/>
  <c r="H204" i="8"/>
  <c r="E204" i="8"/>
  <c r="I203" i="8"/>
  <c r="H203" i="8"/>
  <c r="E203" i="8"/>
  <c r="I202" i="8"/>
  <c r="H202" i="8"/>
  <c r="E202" i="8"/>
  <c r="I201" i="8"/>
  <c r="H201" i="8"/>
  <c r="E201" i="8"/>
  <c r="I200" i="8"/>
  <c r="H200" i="8"/>
  <c r="E200" i="8"/>
  <c r="I199" i="8"/>
  <c r="H199" i="8"/>
  <c r="E199" i="8"/>
  <c r="I198" i="8"/>
  <c r="H198" i="8"/>
  <c r="E198" i="8"/>
  <c r="I197" i="8"/>
  <c r="H197" i="8"/>
  <c r="E197" i="8"/>
  <c r="I196" i="8"/>
  <c r="H196" i="8"/>
  <c r="E196" i="8"/>
  <c r="I195" i="8"/>
  <c r="H195" i="8"/>
  <c r="E195" i="8"/>
  <c r="I194" i="8"/>
  <c r="H194" i="8"/>
  <c r="E194" i="8"/>
  <c r="I193" i="8"/>
  <c r="H193" i="8"/>
  <c r="E193" i="8"/>
  <c r="I192" i="8"/>
  <c r="H192" i="8"/>
  <c r="E192" i="8"/>
  <c r="I191" i="8"/>
  <c r="H191" i="8"/>
  <c r="E191" i="8"/>
  <c r="I190" i="8"/>
  <c r="H190" i="8"/>
  <c r="E190" i="8"/>
  <c r="I189" i="8"/>
  <c r="H189" i="8"/>
  <c r="E189" i="8"/>
  <c r="I188" i="8"/>
  <c r="H188" i="8"/>
  <c r="E188" i="8"/>
  <c r="I187" i="8"/>
  <c r="H187" i="8"/>
  <c r="E187" i="8"/>
  <c r="I186" i="8"/>
  <c r="H186" i="8"/>
  <c r="E186" i="8"/>
  <c r="I185" i="8"/>
  <c r="H185" i="8"/>
  <c r="E185" i="8"/>
  <c r="I184" i="8"/>
  <c r="H184" i="8"/>
  <c r="E184" i="8"/>
  <c r="I183" i="8"/>
  <c r="H183" i="8"/>
  <c r="E183" i="8"/>
  <c r="I182" i="8"/>
  <c r="H182" i="8"/>
  <c r="E182" i="8"/>
  <c r="I409" i="8"/>
  <c r="H409" i="8"/>
  <c r="G409" i="8"/>
  <c r="E409" i="8"/>
  <c r="I181" i="8"/>
  <c r="H181" i="8"/>
  <c r="E181" i="8"/>
  <c r="I180" i="8"/>
  <c r="H180" i="8"/>
  <c r="E180" i="8"/>
  <c r="I179" i="8"/>
  <c r="H179" i="8"/>
  <c r="E179" i="8"/>
  <c r="I178" i="8"/>
  <c r="H178" i="8"/>
  <c r="E178" i="8"/>
  <c r="I177" i="8"/>
  <c r="H177" i="8"/>
  <c r="E177" i="8"/>
  <c r="I176" i="8"/>
  <c r="H176" i="8"/>
  <c r="E176" i="8"/>
  <c r="I175" i="8"/>
  <c r="H175" i="8"/>
  <c r="E175" i="8"/>
  <c r="I174" i="8"/>
  <c r="H174" i="8"/>
  <c r="E174" i="8"/>
  <c r="I173" i="8"/>
  <c r="H173" i="8"/>
  <c r="E173" i="8"/>
  <c r="I172" i="8"/>
  <c r="H172" i="8"/>
  <c r="E172" i="8"/>
  <c r="I171" i="8"/>
  <c r="H171" i="8"/>
  <c r="E171" i="8"/>
  <c r="I170" i="8"/>
  <c r="H170" i="8"/>
  <c r="E170" i="8"/>
  <c r="I408" i="8"/>
  <c r="H408" i="8"/>
  <c r="G408" i="8"/>
  <c r="E408" i="8"/>
  <c r="I169" i="8"/>
  <c r="H169" i="8"/>
  <c r="E169" i="8"/>
  <c r="I168" i="8"/>
  <c r="H168" i="8"/>
  <c r="E168" i="8"/>
  <c r="I167" i="8"/>
  <c r="H167" i="8"/>
  <c r="E167" i="8"/>
  <c r="I407" i="8"/>
  <c r="H407" i="8"/>
  <c r="G407" i="8"/>
  <c r="E407" i="8"/>
  <c r="I166" i="8"/>
  <c r="H166" i="8"/>
  <c r="E166" i="8"/>
  <c r="I165" i="8"/>
  <c r="H165" i="8"/>
  <c r="E165" i="8"/>
  <c r="I164" i="8"/>
  <c r="H164" i="8"/>
  <c r="E164" i="8"/>
  <c r="I163" i="8"/>
  <c r="H163" i="8"/>
  <c r="E163" i="8"/>
  <c r="I162" i="8"/>
  <c r="H162" i="8"/>
  <c r="E162" i="8"/>
  <c r="I406" i="8"/>
  <c r="H406" i="8"/>
  <c r="G406" i="8"/>
  <c r="E406" i="8"/>
  <c r="I161" i="8"/>
  <c r="H161" i="8"/>
  <c r="E161" i="8"/>
  <c r="I160" i="8"/>
  <c r="H160" i="8"/>
  <c r="E160" i="8"/>
  <c r="I159" i="8"/>
  <c r="H159" i="8"/>
  <c r="E159" i="8"/>
  <c r="I158" i="8"/>
  <c r="H158" i="8"/>
  <c r="E158" i="8"/>
  <c r="I157" i="8"/>
  <c r="H157" i="8"/>
  <c r="E157" i="8"/>
  <c r="I156" i="8"/>
  <c r="H156" i="8"/>
  <c r="E156" i="8"/>
  <c r="I155" i="8"/>
  <c r="H155" i="8"/>
  <c r="E155" i="8"/>
  <c r="I154" i="8"/>
  <c r="H154" i="8"/>
  <c r="E154" i="8"/>
  <c r="I153" i="8"/>
  <c r="H153" i="8"/>
  <c r="E153" i="8"/>
  <c r="I152" i="8"/>
  <c r="H152" i="8"/>
  <c r="E152" i="8"/>
  <c r="I151" i="8"/>
  <c r="H151" i="8"/>
  <c r="E151" i="8"/>
  <c r="I150" i="8"/>
  <c r="H150" i="8"/>
  <c r="E150" i="8"/>
  <c r="I149" i="8"/>
  <c r="H149" i="8"/>
  <c r="E149" i="8"/>
  <c r="I148" i="8"/>
  <c r="H148" i="8"/>
  <c r="E148" i="8"/>
  <c r="I147" i="8"/>
  <c r="H147" i="8"/>
  <c r="E147" i="8"/>
  <c r="I146" i="8"/>
  <c r="H146" i="8"/>
  <c r="E146" i="8"/>
  <c r="I145" i="8"/>
  <c r="H145" i="8"/>
  <c r="E145" i="8"/>
  <c r="I144" i="8"/>
  <c r="H144" i="8"/>
  <c r="E144" i="8"/>
  <c r="I143" i="8"/>
  <c r="H143" i="8"/>
  <c r="E143" i="8"/>
  <c r="I142" i="8"/>
  <c r="H142" i="8"/>
  <c r="E142" i="8"/>
  <c r="I141" i="8"/>
  <c r="H141" i="8"/>
  <c r="E141" i="8"/>
  <c r="I140" i="8"/>
  <c r="H140" i="8"/>
  <c r="E140" i="8"/>
  <c r="I139" i="8"/>
  <c r="H139" i="8"/>
  <c r="E139" i="8"/>
  <c r="I138" i="8"/>
  <c r="H138" i="8"/>
  <c r="E138" i="8"/>
  <c r="I137" i="8"/>
  <c r="H137" i="8"/>
  <c r="E137" i="8"/>
  <c r="I136" i="8"/>
  <c r="H136" i="8"/>
  <c r="E136" i="8"/>
  <c r="I135" i="8"/>
  <c r="H135" i="8"/>
  <c r="E135" i="8"/>
  <c r="I134" i="8"/>
  <c r="H134" i="8"/>
  <c r="E134" i="8"/>
  <c r="I133" i="8"/>
  <c r="H133" i="8"/>
  <c r="E133" i="8"/>
  <c r="I132" i="8"/>
  <c r="H132" i="8"/>
  <c r="E132" i="8"/>
  <c r="I131" i="8"/>
  <c r="H131" i="8"/>
  <c r="E131" i="8"/>
  <c r="I130" i="8"/>
  <c r="H130" i="8"/>
  <c r="E130" i="8"/>
  <c r="I129" i="8"/>
  <c r="H129" i="8"/>
  <c r="E129" i="8"/>
  <c r="I128" i="8"/>
  <c r="H128" i="8"/>
  <c r="E128" i="8"/>
  <c r="I127" i="8"/>
  <c r="H127" i="8"/>
  <c r="E127" i="8"/>
  <c r="I126" i="8"/>
  <c r="H126" i="8"/>
  <c r="E126" i="8"/>
  <c r="I125" i="8"/>
  <c r="H125" i="8"/>
  <c r="E125" i="8"/>
  <c r="I405" i="8"/>
  <c r="H405" i="8"/>
  <c r="G405" i="8"/>
  <c r="E405" i="8"/>
  <c r="I124" i="8"/>
  <c r="H124" i="8"/>
  <c r="E124" i="8"/>
  <c r="I123" i="8"/>
  <c r="H123" i="8"/>
  <c r="E123" i="8"/>
  <c r="I404" i="8"/>
  <c r="H404" i="8"/>
  <c r="G404" i="8"/>
  <c r="E404" i="8"/>
  <c r="I122" i="8"/>
  <c r="H122" i="8"/>
  <c r="E122" i="8"/>
  <c r="I121" i="8"/>
  <c r="H121" i="8"/>
  <c r="E121" i="8"/>
  <c r="I120" i="8"/>
  <c r="H120" i="8"/>
  <c r="E120" i="8"/>
  <c r="I119" i="8"/>
  <c r="H119" i="8"/>
  <c r="E119" i="8"/>
  <c r="I118" i="8"/>
  <c r="H118" i="8"/>
  <c r="E118" i="8"/>
  <c r="I117" i="8"/>
  <c r="H117" i="8"/>
  <c r="E117" i="8"/>
  <c r="I116" i="8"/>
  <c r="H116" i="8"/>
  <c r="E116" i="8"/>
  <c r="I403" i="8"/>
  <c r="H403" i="8"/>
  <c r="G403" i="8"/>
  <c r="E403" i="8"/>
  <c r="I402" i="8"/>
  <c r="H402" i="8"/>
  <c r="G402" i="8"/>
  <c r="E402" i="8"/>
  <c r="I401" i="8"/>
  <c r="H401" i="8"/>
  <c r="G401" i="8"/>
  <c r="E401" i="8"/>
  <c r="I400" i="8"/>
  <c r="H400" i="8"/>
  <c r="G400" i="8"/>
  <c r="E400" i="8"/>
  <c r="I399" i="8"/>
  <c r="H399" i="8"/>
  <c r="G399" i="8"/>
  <c r="E399" i="8"/>
  <c r="I398" i="8"/>
  <c r="H398" i="8"/>
  <c r="G398" i="8"/>
  <c r="E398" i="8"/>
  <c r="I397" i="8"/>
  <c r="H397" i="8"/>
  <c r="G397" i="8"/>
  <c r="E397" i="8"/>
  <c r="I396" i="8"/>
  <c r="H396" i="8"/>
  <c r="G396" i="8"/>
  <c r="E396" i="8"/>
  <c r="I395" i="8"/>
  <c r="H395" i="8"/>
  <c r="G395" i="8"/>
  <c r="E395" i="8"/>
  <c r="I394" i="8"/>
  <c r="H394" i="8"/>
  <c r="G394" i="8"/>
  <c r="E394" i="8"/>
  <c r="I393" i="8"/>
  <c r="H393" i="8"/>
  <c r="G393" i="8"/>
  <c r="E393" i="8"/>
  <c r="I392" i="8"/>
  <c r="H392" i="8"/>
  <c r="G392" i="8"/>
  <c r="E392" i="8"/>
  <c r="I391" i="8"/>
  <c r="H391" i="8"/>
  <c r="G391" i="8"/>
  <c r="E391" i="8"/>
  <c r="I390" i="8"/>
  <c r="H390" i="8"/>
  <c r="G390" i="8"/>
  <c r="E390" i="8"/>
  <c r="I389" i="8"/>
  <c r="H389" i="8"/>
  <c r="G389" i="8"/>
  <c r="E389" i="8"/>
  <c r="I388" i="8"/>
  <c r="H388" i="8"/>
  <c r="G388" i="8"/>
  <c r="E388" i="8"/>
  <c r="I115" i="8"/>
  <c r="H115" i="8"/>
  <c r="E115" i="8"/>
  <c r="I114" i="8"/>
  <c r="H114" i="8"/>
  <c r="E114" i="8"/>
  <c r="I113" i="8"/>
  <c r="H113" i="8"/>
  <c r="E113" i="8"/>
  <c r="I112" i="8"/>
  <c r="H112" i="8"/>
  <c r="E112" i="8"/>
  <c r="I111" i="8"/>
  <c r="H111" i="8"/>
  <c r="E111" i="8"/>
  <c r="I110" i="8"/>
  <c r="H110" i="8"/>
  <c r="E110" i="8"/>
  <c r="I109" i="8"/>
  <c r="H109" i="8"/>
  <c r="E109" i="8"/>
  <c r="I108" i="8"/>
  <c r="H108" i="8"/>
  <c r="E108" i="8"/>
  <c r="I107" i="8"/>
  <c r="H107" i="8"/>
  <c r="E107" i="8"/>
  <c r="I106" i="8"/>
  <c r="H106" i="8"/>
  <c r="E106" i="8"/>
  <c r="I105" i="8"/>
  <c r="H105" i="8"/>
  <c r="E105" i="8"/>
  <c r="I104" i="8"/>
  <c r="H104" i="8"/>
  <c r="E104" i="8"/>
  <c r="I103" i="8"/>
  <c r="H103" i="8"/>
  <c r="E103" i="8"/>
  <c r="I387" i="8"/>
  <c r="H387" i="8"/>
  <c r="G387" i="8"/>
  <c r="E387" i="8"/>
  <c r="I386" i="8"/>
  <c r="H386" i="8"/>
  <c r="G386" i="8"/>
  <c r="E386" i="8"/>
  <c r="I385" i="8"/>
  <c r="H385" i="8"/>
  <c r="G385" i="8"/>
  <c r="E385" i="8"/>
  <c r="I384" i="8"/>
  <c r="H384" i="8"/>
  <c r="G384" i="8"/>
  <c r="E384" i="8"/>
  <c r="I383" i="8"/>
  <c r="H383" i="8"/>
  <c r="G383" i="8"/>
  <c r="E383" i="8"/>
  <c r="I382" i="8"/>
  <c r="H382" i="8"/>
  <c r="G382" i="8"/>
  <c r="E382" i="8"/>
  <c r="I381" i="8"/>
  <c r="H381" i="8"/>
  <c r="G381" i="8"/>
  <c r="E381" i="8"/>
  <c r="I380" i="8"/>
  <c r="H380" i="8"/>
  <c r="G380" i="8"/>
  <c r="E380" i="8"/>
  <c r="I379" i="8"/>
  <c r="H379" i="8"/>
  <c r="G379" i="8"/>
  <c r="E379" i="8"/>
  <c r="I378" i="8"/>
  <c r="H378" i="8"/>
  <c r="G378" i="8"/>
  <c r="E378" i="8"/>
  <c r="I102" i="8"/>
  <c r="H102" i="8"/>
  <c r="E102" i="8"/>
  <c r="I101" i="8"/>
  <c r="H101" i="8"/>
  <c r="E101" i="8"/>
  <c r="I100" i="8"/>
  <c r="H100" i="8"/>
  <c r="E100" i="8"/>
  <c r="I99" i="8"/>
  <c r="H99" i="8"/>
  <c r="E99" i="8"/>
  <c r="I98" i="8"/>
  <c r="H98" i="8"/>
  <c r="E98" i="8"/>
  <c r="I97" i="8"/>
  <c r="H97" i="8"/>
  <c r="E97" i="8"/>
  <c r="I96" i="8"/>
  <c r="H96" i="8"/>
  <c r="E96" i="8"/>
  <c r="I95" i="8"/>
  <c r="H95" i="8"/>
  <c r="E95" i="8"/>
  <c r="I94" i="8"/>
  <c r="H94" i="8"/>
  <c r="E94" i="8"/>
  <c r="I93" i="8"/>
  <c r="H93" i="8"/>
  <c r="E93" i="8"/>
  <c r="I92" i="8"/>
  <c r="H92" i="8"/>
  <c r="E92" i="8"/>
  <c r="I91" i="8"/>
  <c r="H91" i="8"/>
  <c r="E91" i="8"/>
  <c r="I90" i="8"/>
  <c r="H90" i="8"/>
  <c r="E90" i="8"/>
  <c r="I89" i="8"/>
  <c r="H89" i="8"/>
  <c r="E89" i="8"/>
  <c r="I88" i="8"/>
  <c r="H88" i="8"/>
  <c r="E88" i="8"/>
  <c r="I87" i="8"/>
  <c r="H87" i="8"/>
  <c r="E87" i="8"/>
  <c r="I86" i="8"/>
  <c r="H86" i="8"/>
  <c r="E86" i="8"/>
  <c r="I85" i="8"/>
  <c r="H85" i="8"/>
  <c r="E85" i="8"/>
  <c r="I377" i="8"/>
  <c r="H377" i="8"/>
  <c r="G377" i="8"/>
  <c r="E377" i="8"/>
  <c r="I376" i="8"/>
  <c r="H376" i="8"/>
  <c r="G376" i="8"/>
  <c r="E376" i="8"/>
  <c r="I375" i="8"/>
  <c r="H375" i="8"/>
  <c r="G375" i="8"/>
  <c r="E375" i="8"/>
  <c r="I374" i="8"/>
  <c r="H374" i="8"/>
  <c r="G374" i="8"/>
  <c r="E374" i="8"/>
  <c r="I373" i="8"/>
  <c r="H373" i="8"/>
  <c r="G373" i="8"/>
  <c r="E373" i="8"/>
  <c r="I372" i="8"/>
  <c r="H372" i="8"/>
  <c r="G372" i="8"/>
  <c r="E372" i="8"/>
  <c r="I84" i="8"/>
  <c r="H84" i="8"/>
  <c r="E84" i="8"/>
  <c r="I371" i="8"/>
  <c r="H371" i="8"/>
  <c r="G371" i="8"/>
  <c r="E371" i="8"/>
  <c r="I370" i="8"/>
  <c r="H370" i="8"/>
  <c r="G370" i="8"/>
  <c r="E370" i="8"/>
  <c r="I369" i="8"/>
  <c r="H369" i="8"/>
  <c r="G369" i="8"/>
  <c r="E369" i="8"/>
  <c r="I368" i="8"/>
  <c r="H368" i="8"/>
  <c r="G368" i="8"/>
  <c r="E368" i="8"/>
  <c r="I367" i="8"/>
  <c r="H367" i="8"/>
  <c r="G367" i="8"/>
  <c r="E367" i="8"/>
  <c r="I83" i="8"/>
  <c r="H83" i="8"/>
  <c r="E83" i="8"/>
  <c r="I82" i="8"/>
  <c r="H82" i="8"/>
  <c r="E82" i="8"/>
  <c r="I81" i="8"/>
  <c r="H81" i="8"/>
  <c r="E81" i="8"/>
  <c r="I80" i="8"/>
  <c r="H80" i="8"/>
  <c r="E80" i="8"/>
  <c r="I79" i="8"/>
  <c r="H79" i="8"/>
  <c r="E79" i="8"/>
  <c r="I78" i="8"/>
  <c r="H78" i="8"/>
  <c r="E78" i="8"/>
  <c r="I77" i="8"/>
  <c r="H77" i="8"/>
  <c r="E77" i="8"/>
  <c r="I76" i="8"/>
  <c r="H76" i="8"/>
  <c r="E76" i="8"/>
  <c r="I75" i="8"/>
  <c r="H75" i="8"/>
  <c r="E75" i="8"/>
  <c r="I74" i="8"/>
  <c r="H74" i="8"/>
  <c r="E74" i="8"/>
  <c r="I73" i="8"/>
  <c r="H73" i="8"/>
  <c r="E73" i="8"/>
  <c r="I72" i="8"/>
  <c r="H72" i="8"/>
  <c r="E72" i="8"/>
  <c r="I71" i="8"/>
  <c r="H71" i="8"/>
  <c r="E71" i="8"/>
  <c r="I70" i="8"/>
  <c r="H70" i="8"/>
  <c r="E70" i="8"/>
  <c r="I69" i="8"/>
  <c r="H69" i="8"/>
  <c r="E69" i="8"/>
  <c r="I68" i="8"/>
  <c r="H68" i="8"/>
  <c r="E68" i="8"/>
  <c r="I67" i="8"/>
  <c r="H67" i="8"/>
  <c r="E67" i="8"/>
  <c r="I66" i="8"/>
  <c r="H66" i="8"/>
  <c r="E66" i="8"/>
  <c r="I65" i="8"/>
  <c r="H65" i="8"/>
  <c r="E65" i="8"/>
  <c r="I64" i="8"/>
  <c r="H64" i="8"/>
  <c r="E64" i="8"/>
  <c r="I366" i="8"/>
  <c r="H366" i="8"/>
  <c r="G366" i="8"/>
  <c r="E366" i="8"/>
  <c r="I365" i="8"/>
  <c r="H365" i="8"/>
  <c r="G365" i="8"/>
  <c r="E365" i="8"/>
  <c r="I364" i="8"/>
  <c r="H364" i="8"/>
  <c r="G364" i="8"/>
  <c r="E364" i="8"/>
  <c r="I363" i="8"/>
  <c r="H363" i="8"/>
  <c r="G363" i="8"/>
  <c r="E363" i="8"/>
  <c r="I362" i="8"/>
  <c r="H362" i="8"/>
  <c r="G362" i="8"/>
  <c r="E362" i="8"/>
  <c r="I361" i="8"/>
  <c r="H361" i="8"/>
  <c r="G361" i="8"/>
  <c r="E361" i="8"/>
  <c r="I360" i="8"/>
  <c r="H360" i="8"/>
  <c r="G360" i="8"/>
  <c r="E360" i="8"/>
  <c r="I359" i="8"/>
  <c r="H359" i="8"/>
  <c r="G359" i="8"/>
  <c r="E359" i="8"/>
  <c r="I358" i="8"/>
  <c r="H358" i="8"/>
  <c r="G358" i="8"/>
  <c r="E358" i="8"/>
  <c r="I357" i="8"/>
  <c r="H357" i="8"/>
  <c r="G357" i="8"/>
  <c r="E357" i="8"/>
  <c r="I356" i="8"/>
  <c r="H356" i="8"/>
  <c r="G356" i="8"/>
  <c r="E356" i="8"/>
  <c r="I355" i="8"/>
  <c r="H355" i="8"/>
  <c r="G355" i="8"/>
  <c r="E355" i="8"/>
  <c r="I354" i="8"/>
  <c r="H354" i="8"/>
  <c r="G354" i="8"/>
  <c r="E354" i="8"/>
  <c r="I353" i="8"/>
  <c r="H353" i="8"/>
  <c r="G353" i="8"/>
  <c r="E353" i="8"/>
  <c r="I352" i="8"/>
  <c r="H352" i="8"/>
  <c r="G352" i="8"/>
  <c r="E352" i="8"/>
  <c r="I351" i="8"/>
  <c r="H351" i="8"/>
  <c r="G351" i="8"/>
  <c r="E351" i="8"/>
  <c r="I63" i="8"/>
  <c r="H63" i="8"/>
  <c r="E63" i="8"/>
  <c r="I62" i="8"/>
  <c r="H62" i="8"/>
  <c r="E62" i="8"/>
  <c r="I61" i="8"/>
  <c r="H61" i="8"/>
  <c r="E61" i="8"/>
  <c r="I350" i="8"/>
  <c r="H350" i="8"/>
  <c r="G350" i="8"/>
  <c r="E350" i="8"/>
  <c r="I349" i="8"/>
  <c r="H349" i="8"/>
  <c r="G349" i="8"/>
  <c r="E349" i="8"/>
  <c r="I60" i="8"/>
  <c r="H60" i="8"/>
  <c r="E60" i="8"/>
  <c r="I348" i="8"/>
  <c r="H348" i="8"/>
  <c r="G348" i="8"/>
  <c r="E348" i="8"/>
  <c r="I59" i="8"/>
  <c r="H59" i="8"/>
  <c r="E59" i="8"/>
  <c r="I58" i="8"/>
  <c r="H58" i="8"/>
  <c r="E58" i="8"/>
  <c r="I57" i="8"/>
  <c r="H57" i="8"/>
  <c r="E57" i="8"/>
  <c r="I56" i="8"/>
  <c r="H56" i="8"/>
  <c r="E56" i="8"/>
  <c r="I55" i="8"/>
  <c r="H55" i="8"/>
  <c r="E55" i="8"/>
  <c r="I54" i="8"/>
  <c r="H54" i="8"/>
  <c r="E54" i="8"/>
  <c r="I53" i="8"/>
  <c r="H53" i="8"/>
  <c r="E53" i="8"/>
  <c r="I52" i="8"/>
  <c r="H52" i="8"/>
  <c r="E52" i="8"/>
  <c r="I51" i="8"/>
  <c r="H51" i="8"/>
  <c r="E51" i="8"/>
  <c r="I50" i="8"/>
  <c r="H50" i="8"/>
  <c r="E50" i="8"/>
  <c r="I347" i="8"/>
  <c r="H347" i="8"/>
  <c r="G347" i="8"/>
  <c r="E347" i="8"/>
  <c r="I346" i="8"/>
  <c r="H346" i="8"/>
  <c r="G346" i="8"/>
  <c r="E346" i="8"/>
  <c r="I345" i="8"/>
  <c r="H345" i="8"/>
  <c r="G345" i="8"/>
  <c r="E345" i="8"/>
  <c r="I344" i="8"/>
  <c r="H344" i="8"/>
  <c r="G344" i="8"/>
  <c r="E344" i="8"/>
  <c r="I343" i="8"/>
  <c r="H343" i="8"/>
  <c r="G343" i="8"/>
  <c r="E343" i="8"/>
  <c r="I342" i="8"/>
  <c r="H342" i="8"/>
  <c r="G342" i="8"/>
  <c r="E342" i="8"/>
  <c r="I49" i="8"/>
  <c r="H49" i="8"/>
  <c r="E49" i="8"/>
  <c r="I48" i="8"/>
  <c r="H48" i="8"/>
  <c r="E48" i="8"/>
  <c r="I47" i="8"/>
  <c r="H47" i="8"/>
  <c r="E47" i="8"/>
  <c r="I46" i="8"/>
  <c r="H46" i="8"/>
  <c r="E46" i="8"/>
  <c r="I45" i="8"/>
  <c r="H45" i="8"/>
  <c r="E45" i="8"/>
  <c r="I44" i="8"/>
  <c r="H44" i="8"/>
  <c r="E44" i="8"/>
  <c r="I43" i="8"/>
  <c r="H43" i="8"/>
  <c r="E43" i="8"/>
  <c r="I42" i="8"/>
  <c r="H42" i="8"/>
  <c r="E42" i="8"/>
  <c r="I41" i="8"/>
  <c r="H41" i="8"/>
  <c r="E41" i="8"/>
  <c r="I40" i="8"/>
  <c r="H40" i="8"/>
  <c r="E40" i="8"/>
  <c r="I39" i="8"/>
  <c r="H39" i="8"/>
  <c r="E39" i="8"/>
  <c r="I38" i="8"/>
  <c r="H38" i="8"/>
  <c r="E38" i="8"/>
  <c r="I341" i="8"/>
  <c r="H341" i="8"/>
  <c r="G341" i="8"/>
  <c r="E341" i="8"/>
  <c r="I340" i="8"/>
  <c r="H340" i="8"/>
  <c r="G340" i="8"/>
  <c r="E340" i="8"/>
  <c r="I37" i="8"/>
  <c r="H37" i="8"/>
  <c r="E37" i="8"/>
  <c r="I36" i="8"/>
  <c r="H36" i="8"/>
  <c r="E36" i="8"/>
  <c r="I339" i="8"/>
  <c r="H339" i="8"/>
  <c r="G339" i="8"/>
  <c r="E339" i="8"/>
  <c r="I35" i="8"/>
  <c r="H35" i="8"/>
  <c r="E35" i="8"/>
  <c r="I34" i="8"/>
  <c r="H34" i="8"/>
  <c r="E34" i="8"/>
  <c r="I338" i="8"/>
  <c r="H338" i="8"/>
  <c r="G338" i="8"/>
  <c r="E338" i="8"/>
  <c r="I33" i="8"/>
  <c r="H33" i="8"/>
  <c r="E33" i="8"/>
  <c r="I32" i="8"/>
  <c r="H32" i="8"/>
  <c r="E32" i="8"/>
  <c r="I31" i="8"/>
  <c r="H31" i="8"/>
  <c r="E31" i="8"/>
  <c r="I30" i="8"/>
  <c r="H30" i="8"/>
  <c r="E30" i="8"/>
  <c r="I29" i="8"/>
  <c r="H29" i="8"/>
  <c r="E29" i="8"/>
  <c r="I28" i="8"/>
  <c r="H28" i="8"/>
  <c r="E28" i="8"/>
  <c r="I27" i="8"/>
  <c r="H27" i="8"/>
  <c r="E27" i="8"/>
  <c r="I26" i="8"/>
  <c r="H26" i="8"/>
  <c r="E26" i="8"/>
  <c r="I25" i="8"/>
  <c r="H25" i="8"/>
  <c r="E25" i="8"/>
  <c r="I24" i="8"/>
  <c r="H24" i="8"/>
  <c r="E24" i="8"/>
  <c r="I23" i="8"/>
  <c r="H23" i="8"/>
  <c r="E23" i="8"/>
  <c r="I22" i="8"/>
  <c r="H22" i="8"/>
  <c r="E22" i="8"/>
  <c r="I21" i="8"/>
  <c r="H21" i="8"/>
  <c r="E21" i="8"/>
  <c r="I20" i="8"/>
  <c r="H20" i="8"/>
  <c r="E20" i="8"/>
  <c r="I19" i="8"/>
  <c r="H19" i="8"/>
  <c r="E19" i="8"/>
  <c r="I18" i="8"/>
  <c r="H18" i="8"/>
  <c r="E18" i="8"/>
  <c r="I17" i="8"/>
  <c r="H17" i="8"/>
  <c r="E17" i="8"/>
  <c r="I16" i="8"/>
  <c r="H16" i="8"/>
  <c r="E16" i="8"/>
  <c r="I15" i="8"/>
  <c r="H15" i="8"/>
  <c r="E15" i="8"/>
  <c r="I14" i="8"/>
  <c r="H14" i="8"/>
  <c r="E14" i="8"/>
  <c r="I13" i="8"/>
  <c r="H13" i="8"/>
  <c r="E13" i="8"/>
  <c r="I12" i="8"/>
  <c r="H12" i="8"/>
  <c r="E12" i="8"/>
  <c r="I11" i="8"/>
  <c r="H11" i="8"/>
  <c r="E11" i="8"/>
  <c r="I10" i="8"/>
  <c r="H10" i="8"/>
  <c r="E10" i="8"/>
  <c r="I9" i="8"/>
  <c r="H9" i="8"/>
  <c r="E9" i="8"/>
  <c r="I8" i="8"/>
  <c r="H8" i="8"/>
  <c r="E8" i="8"/>
  <c r="I337" i="8"/>
  <c r="H337" i="8"/>
  <c r="G337" i="8"/>
  <c r="E337" i="8"/>
  <c r="I336" i="8"/>
  <c r="H336" i="8"/>
  <c r="G336" i="8"/>
  <c r="E336" i="8"/>
  <c r="I335" i="8"/>
  <c r="H335" i="8"/>
  <c r="G335" i="8"/>
  <c r="E335" i="8"/>
  <c r="I7" i="8"/>
  <c r="H7" i="8"/>
  <c r="E7" i="8"/>
  <c r="I6" i="8"/>
  <c r="H6" i="8"/>
  <c r="E6" i="8"/>
  <c r="I334" i="8"/>
  <c r="H334" i="8"/>
  <c r="G334" i="8"/>
  <c r="E334" i="8"/>
  <c r="I333" i="8"/>
  <c r="H333" i="8"/>
  <c r="G333" i="8"/>
  <c r="E333" i="8"/>
  <c r="I5" i="8"/>
  <c r="H5" i="8"/>
  <c r="E5" i="8"/>
  <c r="I4" i="8"/>
  <c r="H4" i="8"/>
  <c r="E4" i="8"/>
  <c r="I3" i="8"/>
  <c r="H3" i="8"/>
  <c r="E3" i="8"/>
  <c r="I2" i="8"/>
  <c r="E2" i="8"/>
  <c r="I322" i="5"/>
  <c r="H322" i="5"/>
  <c r="E322" i="5"/>
  <c r="I321" i="5"/>
  <c r="H321" i="5"/>
  <c r="E321" i="5"/>
  <c r="I320" i="5"/>
  <c r="H320" i="5"/>
  <c r="E320" i="5"/>
  <c r="I319" i="5"/>
  <c r="H319" i="5"/>
  <c r="E319" i="5"/>
  <c r="I318" i="5"/>
  <c r="H318" i="5"/>
  <c r="E318" i="5"/>
  <c r="I317" i="5"/>
  <c r="H317" i="5"/>
  <c r="E317" i="5"/>
  <c r="I316" i="5"/>
  <c r="H316" i="5"/>
  <c r="E316" i="5"/>
  <c r="I315" i="5"/>
  <c r="H315" i="5"/>
  <c r="E315" i="5"/>
  <c r="I314" i="5"/>
  <c r="H314" i="5"/>
  <c r="E314" i="5"/>
  <c r="I313" i="5"/>
  <c r="H313" i="5"/>
  <c r="E313" i="5"/>
  <c r="I312" i="5"/>
  <c r="H312" i="5"/>
  <c r="E312" i="5"/>
  <c r="I311" i="5"/>
  <c r="H311" i="5"/>
  <c r="E311" i="5"/>
  <c r="I310" i="5"/>
  <c r="H310" i="5"/>
  <c r="E310" i="5"/>
  <c r="I309" i="5"/>
  <c r="H309" i="5"/>
  <c r="E309" i="5"/>
  <c r="I308" i="5"/>
  <c r="H308" i="5"/>
  <c r="E308" i="5"/>
  <c r="I307" i="5"/>
  <c r="H307" i="5"/>
  <c r="E307" i="5"/>
  <c r="I306" i="5"/>
  <c r="H306" i="5"/>
  <c r="E306" i="5"/>
  <c r="I305" i="5"/>
  <c r="H305" i="5"/>
  <c r="E305" i="5"/>
  <c r="I304" i="5"/>
  <c r="H304" i="5"/>
  <c r="E304" i="5"/>
  <c r="I303" i="5"/>
  <c r="H303" i="5"/>
  <c r="E303" i="5"/>
  <c r="I302" i="5"/>
  <c r="H302" i="5"/>
  <c r="E302" i="5"/>
  <c r="I301" i="5"/>
  <c r="H301" i="5"/>
  <c r="E301" i="5"/>
  <c r="I300" i="5"/>
  <c r="H300" i="5"/>
  <c r="E300" i="5"/>
  <c r="I299" i="5"/>
  <c r="H299" i="5"/>
  <c r="E299" i="5"/>
  <c r="I298" i="5"/>
  <c r="H298" i="5"/>
  <c r="E298" i="5"/>
  <c r="I297" i="5"/>
  <c r="H297" i="5"/>
  <c r="E297" i="5"/>
  <c r="I296" i="5"/>
  <c r="H296" i="5"/>
  <c r="E296" i="5"/>
  <c r="I295" i="5"/>
  <c r="H295" i="5"/>
  <c r="E295" i="5"/>
  <c r="I294" i="5"/>
  <c r="H294" i="5"/>
  <c r="E294" i="5"/>
  <c r="I293" i="5"/>
  <c r="H293" i="5"/>
  <c r="E293" i="5"/>
  <c r="I292" i="5"/>
  <c r="H292" i="5"/>
  <c r="E292" i="5"/>
  <c r="I291" i="5"/>
  <c r="H291" i="5"/>
  <c r="E291" i="5"/>
  <c r="I290" i="5"/>
  <c r="H290" i="5"/>
  <c r="E290" i="5"/>
  <c r="I289" i="5"/>
  <c r="H289" i="5"/>
  <c r="E289" i="5"/>
  <c r="I288" i="5"/>
  <c r="H288" i="5"/>
  <c r="E288" i="5"/>
  <c r="I287" i="5"/>
  <c r="H287" i="5"/>
  <c r="E287" i="5"/>
  <c r="I286" i="5"/>
  <c r="H286" i="5"/>
  <c r="E286" i="5"/>
  <c r="I285" i="5"/>
  <c r="H285" i="5"/>
  <c r="E285" i="5"/>
  <c r="I284" i="5"/>
  <c r="H284" i="5"/>
  <c r="E284" i="5"/>
  <c r="I283" i="5"/>
  <c r="H283" i="5"/>
  <c r="E283" i="5"/>
  <c r="I282" i="5"/>
  <c r="H282" i="5"/>
  <c r="E282" i="5"/>
  <c r="I281" i="5"/>
  <c r="H281" i="5"/>
  <c r="E281" i="5"/>
  <c r="I280" i="5"/>
  <c r="H280" i="5"/>
  <c r="E280" i="5"/>
  <c r="I279" i="5"/>
  <c r="H279" i="5"/>
  <c r="E279" i="5"/>
  <c r="I278" i="5"/>
  <c r="H278" i="5"/>
  <c r="E278" i="5"/>
  <c r="I277" i="5"/>
  <c r="H277" i="5"/>
  <c r="E277" i="5"/>
  <c r="I276" i="5"/>
  <c r="H276" i="5"/>
  <c r="E276" i="5"/>
  <c r="I275" i="5"/>
  <c r="H275" i="5"/>
  <c r="E275" i="5"/>
  <c r="I274" i="5"/>
  <c r="H274" i="5"/>
  <c r="E274" i="5"/>
  <c r="I273" i="5"/>
  <c r="H273" i="5"/>
  <c r="E273" i="5"/>
  <c r="I272" i="5"/>
  <c r="H272" i="5"/>
  <c r="E272" i="5"/>
  <c r="I271" i="5"/>
  <c r="H271" i="5"/>
  <c r="E271" i="5"/>
  <c r="I270" i="5"/>
  <c r="H270" i="5"/>
  <c r="E270" i="5"/>
  <c r="I269" i="5"/>
  <c r="H269" i="5"/>
  <c r="E269" i="5"/>
  <c r="I268" i="5"/>
  <c r="H268" i="5"/>
  <c r="E268" i="5"/>
  <c r="I267" i="5"/>
  <c r="H267" i="5"/>
  <c r="E267" i="5"/>
  <c r="I266" i="5"/>
  <c r="H266" i="5"/>
  <c r="E266" i="5"/>
  <c r="I265" i="5"/>
  <c r="H265" i="5"/>
  <c r="E265" i="5"/>
  <c r="I264" i="5"/>
  <c r="H264" i="5"/>
  <c r="E264" i="5"/>
  <c r="I263" i="5"/>
  <c r="H263" i="5"/>
  <c r="E263" i="5"/>
  <c r="I262" i="5"/>
  <c r="H262" i="5"/>
  <c r="E262" i="5"/>
  <c r="I261" i="5"/>
  <c r="H261" i="5"/>
  <c r="E261" i="5"/>
  <c r="I260" i="5"/>
  <c r="H260" i="5"/>
  <c r="E260" i="5"/>
  <c r="I259" i="5"/>
  <c r="H259" i="5"/>
  <c r="E259" i="5"/>
  <c r="I258" i="5"/>
  <c r="H258" i="5"/>
  <c r="E258" i="5"/>
  <c r="I257" i="5"/>
  <c r="H257" i="5"/>
  <c r="E257" i="5"/>
  <c r="I256" i="5"/>
  <c r="H256" i="5"/>
  <c r="E256" i="5"/>
  <c r="I255" i="5"/>
  <c r="H255" i="5"/>
  <c r="E255" i="5"/>
  <c r="I254" i="5"/>
  <c r="H254" i="5"/>
  <c r="E254" i="5"/>
  <c r="I253" i="5"/>
  <c r="H253" i="5"/>
  <c r="E253" i="5"/>
  <c r="I252" i="5"/>
  <c r="H252" i="5"/>
  <c r="E252" i="5"/>
  <c r="I251" i="5"/>
  <c r="H251" i="5"/>
  <c r="E251" i="5"/>
  <c r="I249" i="5"/>
  <c r="H249" i="5"/>
  <c r="E249" i="5"/>
  <c r="I248" i="5"/>
  <c r="H248" i="5"/>
  <c r="E248" i="5"/>
  <c r="I247" i="5"/>
  <c r="H247" i="5"/>
  <c r="E247" i="5"/>
  <c r="I246" i="5"/>
  <c r="H246" i="5"/>
  <c r="E246" i="5"/>
  <c r="I245" i="5"/>
  <c r="H245" i="5"/>
  <c r="E245" i="5"/>
  <c r="I244" i="5"/>
  <c r="H244" i="5"/>
  <c r="E244" i="5"/>
  <c r="I243" i="5"/>
  <c r="H243" i="5"/>
  <c r="E243" i="5"/>
  <c r="I242" i="5"/>
  <c r="H242" i="5"/>
  <c r="E242" i="5"/>
  <c r="I241" i="5"/>
  <c r="H241" i="5"/>
  <c r="E241" i="5"/>
  <c r="I240" i="5"/>
  <c r="H240" i="5"/>
  <c r="E240" i="5"/>
  <c r="I239" i="5"/>
  <c r="H239" i="5"/>
  <c r="E239" i="5"/>
  <c r="I238" i="5"/>
  <c r="H238" i="5"/>
  <c r="E238" i="5"/>
  <c r="I237" i="5"/>
  <c r="H237" i="5"/>
  <c r="E237" i="5"/>
  <c r="I236" i="5"/>
  <c r="H236" i="5"/>
  <c r="E236" i="5"/>
  <c r="I235" i="5"/>
  <c r="H235" i="5"/>
  <c r="E235" i="5"/>
  <c r="I234" i="5"/>
  <c r="H234" i="5"/>
  <c r="E234" i="5"/>
  <c r="I233" i="5"/>
  <c r="H233" i="5"/>
  <c r="E233" i="5"/>
  <c r="I232" i="5"/>
  <c r="H232" i="5"/>
  <c r="E232" i="5"/>
  <c r="I231" i="5"/>
  <c r="H231" i="5"/>
  <c r="E231" i="5"/>
  <c r="I230" i="5"/>
  <c r="H230" i="5"/>
  <c r="E230" i="5"/>
  <c r="I229" i="5"/>
  <c r="H229" i="5"/>
  <c r="E229" i="5"/>
  <c r="I228" i="5"/>
  <c r="H228" i="5"/>
  <c r="E228" i="5"/>
  <c r="I227" i="5"/>
  <c r="H227" i="5"/>
  <c r="E227" i="5"/>
  <c r="I226" i="5"/>
  <c r="H226" i="5"/>
  <c r="E226" i="5"/>
  <c r="I225" i="5"/>
  <c r="H225" i="5"/>
  <c r="E225" i="5"/>
  <c r="I224" i="5"/>
  <c r="H224" i="5"/>
  <c r="E224" i="5"/>
  <c r="I223" i="5"/>
  <c r="H223" i="5"/>
  <c r="E223" i="5"/>
  <c r="I222" i="5"/>
  <c r="H222" i="5"/>
  <c r="E222" i="5"/>
  <c r="I221" i="5"/>
  <c r="H221" i="5"/>
  <c r="E221" i="5"/>
  <c r="I220" i="5"/>
  <c r="H220" i="5"/>
  <c r="E220" i="5"/>
  <c r="I219" i="5"/>
  <c r="H219" i="5"/>
  <c r="E219" i="5"/>
  <c r="I218" i="5"/>
  <c r="H218" i="5"/>
  <c r="E218" i="5"/>
  <c r="I217" i="5"/>
  <c r="H217" i="5"/>
  <c r="E217" i="5"/>
  <c r="I216" i="5"/>
  <c r="H216" i="5"/>
  <c r="E216" i="5"/>
  <c r="I215" i="5"/>
  <c r="H215" i="5"/>
  <c r="E215" i="5"/>
  <c r="I214" i="5"/>
  <c r="H214" i="5"/>
  <c r="E214" i="5"/>
  <c r="I213" i="5"/>
  <c r="H213" i="5"/>
  <c r="E213" i="5"/>
  <c r="I212" i="5"/>
  <c r="H212" i="5"/>
  <c r="E212" i="5"/>
  <c r="I211" i="5"/>
  <c r="H211" i="5"/>
  <c r="E211" i="5"/>
  <c r="I210" i="5"/>
  <c r="H210" i="5"/>
  <c r="E210" i="5"/>
  <c r="I209" i="5"/>
  <c r="H209" i="5"/>
  <c r="E209" i="5"/>
  <c r="I208" i="5"/>
  <c r="H208" i="5"/>
  <c r="E208" i="5"/>
  <c r="I207" i="5"/>
  <c r="H207" i="5"/>
  <c r="E207" i="5"/>
  <c r="I206" i="5"/>
  <c r="H206" i="5"/>
  <c r="E206" i="5"/>
  <c r="I205" i="5"/>
  <c r="H205" i="5"/>
  <c r="E205" i="5"/>
  <c r="I204" i="5"/>
  <c r="H204" i="5"/>
  <c r="E204" i="5"/>
  <c r="I203" i="5"/>
  <c r="H203" i="5"/>
  <c r="E203" i="5"/>
  <c r="I202" i="5"/>
  <c r="H202" i="5"/>
  <c r="E202" i="5"/>
  <c r="I201" i="5"/>
  <c r="H201" i="5"/>
  <c r="E201" i="5"/>
  <c r="I200" i="5"/>
  <c r="H200" i="5"/>
  <c r="E200" i="5"/>
  <c r="I199" i="5"/>
  <c r="H199" i="5"/>
  <c r="E199" i="5"/>
  <c r="I198" i="5"/>
  <c r="H198" i="5"/>
  <c r="E198" i="5"/>
  <c r="I197" i="5"/>
  <c r="H197" i="5"/>
  <c r="E197" i="5"/>
  <c r="I196" i="5"/>
  <c r="H196" i="5"/>
  <c r="E196" i="5"/>
  <c r="I195" i="5"/>
  <c r="H195" i="5"/>
  <c r="E195" i="5"/>
  <c r="I194" i="5"/>
  <c r="H194" i="5"/>
  <c r="E194" i="5"/>
  <c r="I193" i="5"/>
  <c r="H193" i="5"/>
  <c r="E193" i="5"/>
  <c r="I192" i="5"/>
  <c r="H192" i="5"/>
  <c r="E192" i="5"/>
  <c r="I191" i="5"/>
  <c r="H191" i="5"/>
  <c r="E191" i="5"/>
  <c r="I190" i="5"/>
  <c r="H190" i="5"/>
  <c r="E190" i="5"/>
  <c r="I189" i="5"/>
  <c r="H189" i="5"/>
  <c r="E189" i="5"/>
  <c r="I188" i="5"/>
  <c r="H188" i="5"/>
  <c r="E188" i="5"/>
  <c r="I187" i="5"/>
  <c r="H187" i="5"/>
  <c r="E187" i="5"/>
  <c r="I186" i="5"/>
  <c r="H186" i="5"/>
  <c r="E186" i="5"/>
  <c r="I185" i="5"/>
  <c r="H185" i="5"/>
  <c r="E185" i="5"/>
  <c r="I184" i="5"/>
  <c r="H184" i="5"/>
  <c r="E184" i="5"/>
  <c r="I183" i="5"/>
  <c r="H183" i="5"/>
  <c r="E183" i="5"/>
  <c r="I182" i="5"/>
  <c r="H182" i="5"/>
  <c r="E182" i="5"/>
  <c r="I181" i="5"/>
  <c r="H181" i="5"/>
  <c r="E181" i="5"/>
  <c r="I180" i="5"/>
  <c r="H180" i="5"/>
  <c r="E180" i="5"/>
  <c r="I179" i="5"/>
  <c r="H179" i="5"/>
  <c r="E179" i="5"/>
  <c r="I178" i="5"/>
  <c r="H178" i="5"/>
  <c r="E178" i="5"/>
  <c r="I177" i="5"/>
  <c r="H177" i="5"/>
  <c r="E177" i="5"/>
  <c r="I176" i="5"/>
  <c r="H176" i="5"/>
  <c r="E176" i="5"/>
  <c r="I175" i="5"/>
  <c r="H175" i="5"/>
  <c r="E175" i="5"/>
  <c r="I174" i="5"/>
  <c r="H174" i="5"/>
  <c r="E174" i="5"/>
  <c r="I173" i="5"/>
  <c r="H173" i="5"/>
  <c r="E173" i="5"/>
  <c r="I172" i="5"/>
  <c r="H172" i="5"/>
  <c r="E172" i="5"/>
  <c r="I171" i="5"/>
  <c r="H171" i="5"/>
  <c r="E171" i="5"/>
  <c r="I170" i="5"/>
  <c r="H170" i="5"/>
  <c r="E170" i="5"/>
  <c r="I169" i="5"/>
  <c r="H169" i="5"/>
  <c r="E169" i="5"/>
  <c r="I168" i="5"/>
  <c r="H168" i="5"/>
  <c r="E168" i="5"/>
  <c r="I167" i="5"/>
  <c r="H167" i="5"/>
  <c r="E167" i="5"/>
  <c r="I166" i="5"/>
  <c r="H166" i="5"/>
  <c r="E166" i="5"/>
  <c r="I165" i="5"/>
  <c r="H165" i="5"/>
  <c r="E165" i="5"/>
  <c r="I164" i="5"/>
  <c r="H164" i="5"/>
  <c r="E164" i="5"/>
  <c r="I163" i="5"/>
  <c r="H163" i="5"/>
  <c r="E163" i="5"/>
  <c r="I162" i="5"/>
  <c r="H162" i="5"/>
  <c r="E162" i="5"/>
  <c r="I161" i="5"/>
  <c r="H161" i="5"/>
  <c r="E161" i="5"/>
  <c r="I160" i="5"/>
  <c r="H160" i="5"/>
  <c r="E160" i="5"/>
  <c r="I159" i="5"/>
  <c r="H159" i="5"/>
  <c r="E159" i="5"/>
  <c r="I158" i="5"/>
  <c r="H158" i="5"/>
  <c r="E158" i="5"/>
  <c r="I157" i="5"/>
  <c r="H157" i="5"/>
  <c r="E157" i="5"/>
  <c r="I156" i="5"/>
  <c r="H156" i="5"/>
  <c r="E156" i="5"/>
  <c r="I155" i="5"/>
  <c r="H155" i="5"/>
  <c r="E155" i="5"/>
  <c r="I154" i="5"/>
  <c r="H154" i="5"/>
  <c r="E154" i="5"/>
  <c r="I153" i="5"/>
  <c r="H153" i="5"/>
  <c r="E153" i="5"/>
  <c r="I152" i="5"/>
  <c r="H152" i="5"/>
  <c r="E152" i="5"/>
  <c r="I151" i="5"/>
  <c r="H151" i="5"/>
  <c r="E151" i="5"/>
  <c r="I150" i="5"/>
  <c r="H150" i="5"/>
  <c r="E150" i="5"/>
  <c r="I149" i="5"/>
  <c r="H149" i="5"/>
  <c r="E149" i="5"/>
  <c r="I148" i="5"/>
  <c r="H148" i="5"/>
  <c r="E148" i="5"/>
  <c r="I147" i="5"/>
  <c r="H147" i="5"/>
  <c r="E147" i="5"/>
  <c r="I146" i="5"/>
  <c r="H146" i="5"/>
  <c r="E146" i="5"/>
  <c r="I145" i="5"/>
  <c r="H145" i="5"/>
  <c r="E145" i="5"/>
  <c r="I144" i="5"/>
  <c r="H144" i="5"/>
  <c r="E144" i="5"/>
  <c r="I143" i="5"/>
  <c r="H143" i="5"/>
  <c r="E143" i="5"/>
  <c r="I142" i="5"/>
  <c r="H142" i="5"/>
  <c r="E142" i="5"/>
  <c r="I141" i="5"/>
  <c r="H141" i="5"/>
  <c r="E141" i="5"/>
  <c r="I140" i="5"/>
  <c r="H140" i="5"/>
  <c r="E140" i="5"/>
  <c r="I139" i="5"/>
  <c r="H139" i="5"/>
  <c r="E139" i="5"/>
  <c r="I138" i="5"/>
  <c r="H138" i="5"/>
  <c r="E138" i="5"/>
  <c r="I137" i="5"/>
  <c r="H137" i="5"/>
  <c r="E137" i="5"/>
  <c r="I136" i="5"/>
  <c r="H136" i="5"/>
  <c r="E136" i="5"/>
  <c r="I135" i="5"/>
  <c r="H135" i="5"/>
  <c r="E135" i="5"/>
  <c r="I134" i="5"/>
  <c r="H134" i="5"/>
  <c r="E134" i="5"/>
  <c r="I133" i="5"/>
  <c r="H133" i="5"/>
  <c r="E133" i="5"/>
  <c r="I132" i="5"/>
  <c r="H132" i="5"/>
  <c r="E132" i="5"/>
  <c r="I131" i="5"/>
  <c r="H131" i="5"/>
  <c r="E131" i="5"/>
  <c r="I130" i="5"/>
  <c r="H130" i="5"/>
  <c r="E130" i="5"/>
  <c r="I129" i="5"/>
  <c r="H129" i="5"/>
  <c r="E129" i="5"/>
  <c r="I128" i="5"/>
  <c r="H128" i="5"/>
  <c r="E128" i="5"/>
  <c r="I127" i="5"/>
  <c r="H127" i="5"/>
  <c r="E127" i="5"/>
  <c r="I126" i="5"/>
  <c r="H126" i="5"/>
  <c r="E126" i="5"/>
  <c r="I125" i="5"/>
  <c r="H125" i="5"/>
  <c r="E125" i="5"/>
  <c r="I124" i="5"/>
  <c r="H124" i="5"/>
  <c r="E124" i="5"/>
  <c r="I123" i="5"/>
  <c r="H123" i="5"/>
  <c r="E123" i="5"/>
  <c r="I122" i="5"/>
  <c r="H122" i="5"/>
  <c r="E122" i="5"/>
  <c r="I121" i="5"/>
  <c r="H121" i="5"/>
  <c r="E121" i="5"/>
  <c r="I120" i="5"/>
  <c r="H120" i="5"/>
  <c r="E120" i="5"/>
  <c r="I119" i="5"/>
  <c r="H119" i="5"/>
  <c r="E119" i="5"/>
  <c r="I118" i="5"/>
  <c r="H118" i="5"/>
  <c r="E118" i="5"/>
  <c r="I117" i="5"/>
  <c r="H117" i="5"/>
  <c r="E117" i="5"/>
  <c r="I116" i="5"/>
  <c r="H116" i="5"/>
  <c r="E116" i="5"/>
  <c r="I115" i="5"/>
  <c r="H115" i="5"/>
  <c r="E115" i="5"/>
  <c r="I114" i="5"/>
  <c r="H114" i="5"/>
  <c r="E114" i="5"/>
  <c r="I113" i="5"/>
  <c r="H113" i="5"/>
  <c r="E113" i="5"/>
  <c r="I112" i="5"/>
  <c r="H112" i="5"/>
  <c r="E112" i="5"/>
  <c r="I111" i="5"/>
  <c r="H111" i="5"/>
  <c r="E111" i="5"/>
  <c r="I110" i="5"/>
  <c r="H110" i="5"/>
  <c r="E110" i="5"/>
  <c r="I109" i="5"/>
  <c r="H109" i="5"/>
  <c r="E109" i="5"/>
  <c r="I108" i="5"/>
  <c r="H108" i="5"/>
  <c r="E108" i="5"/>
  <c r="I107" i="5"/>
  <c r="H107" i="5"/>
  <c r="E107" i="5"/>
  <c r="I106" i="5"/>
  <c r="H106" i="5"/>
  <c r="E106" i="5"/>
  <c r="I105" i="5"/>
  <c r="H105" i="5"/>
  <c r="E105" i="5"/>
  <c r="I104" i="5"/>
  <c r="H104" i="5"/>
  <c r="E104" i="5"/>
  <c r="I103" i="5"/>
  <c r="H103" i="5"/>
  <c r="E103" i="5"/>
  <c r="I102" i="5"/>
  <c r="H102" i="5"/>
  <c r="E102" i="5"/>
  <c r="I101" i="5"/>
  <c r="H101" i="5"/>
  <c r="E101" i="5"/>
  <c r="I100" i="5"/>
  <c r="H100" i="5"/>
  <c r="E100" i="5"/>
  <c r="I99" i="5"/>
  <c r="H99" i="5"/>
  <c r="E99" i="5"/>
  <c r="I98" i="5"/>
  <c r="H98" i="5"/>
  <c r="E98" i="5"/>
  <c r="I97" i="5"/>
  <c r="H97" i="5"/>
  <c r="E97" i="5"/>
  <c r="I96" i="5"/>
  <c r="H96" i="5"/>
  <c r="E96" i="5"/>
  <c r="I95" i="5"/>
  <c r="H95" i="5"/>
  <c r="E95" i="5"/>
  <c r="I94" i="5"/>
  <c r="H94" i="5"/>
  <c r="E94" i="5"/>
  <c r="I93" i="5"/>
  <c r="H93" i="5"/>
  <c r="E93" i="5"/>
  <c r="I92" i="5"/>
  <c r="H92" i="5"/>
  <c r="E92" i="5"/>
  <c r="I91" i="5"/>
  <c r="H91" i="5"/>
  <c r="E91" i="5"/>
  <c r="I90" i="5"/>
  <c r="H90" i="5"/>
  <c r="E90" i="5"/>
  <c r="I89" i="5"/>
  <c r="H89" i="5"/>
  <c r="E89" i="5"/>
  <c r="I88" i="5"/>
  <c r="H88" i="5"/>
  <c r="E88" i="5"/>
  <c r="I87" i="5"/>
  <c r="H87" i="5"/>
  <c r="E87" i="5"/>
  <c r="I86" i="5"/>
  <c r="H86" i="5"/>
  <c r="E86" i="5"/>
  <c r="I85" i="5"/>
  <c r="H85" i="5"/>
  <c r="E85" i="5"/>
  <c r="I84" i="5"/>
  <c r="H84" i="5"/>
  <c r="E84" i="5"/>
  <c r="I83" i="5"/>
  <c r="H83" i="5"/>
  <c r="E83" i="5"/>
  <c r="I82" i="5"/>
  <c r="H82" i="5"/>
  <c r="E82" i="5"/>
  <c r="I81" i="5"/>
  <c r="H81" i="5"/>
  <c r="E81" i="5"/>
  <c r="I80" i="5"/>
  <c r="H80" i="5"/>
  <c r="E80" i="5"/>
  <c r="I79" i="5"/>
  <c r="H79" i="5"/>
  <c r="E79" i="5"/>
  <c r="I78" i="5"/>
  <c r="H78" i="5"/>
  <c r="E78" i="5"/>
  <c r="I77" i="5"/>
  <c r="H77" i="5"/>
  <c r="E77" i="5"/>
  <c r="I76" i="5"/>
  <c r="H76" i="5"/>
  <c r="E76" i="5"/>
  <c r="I75" i="5"/>
  <c r="H75" i="5"/>
  <c r="E75" i="5"/>
  <c r="I74" i="5"/>
  <c r="H74" i="5"/>
  <c r="E74" i="5"/>
  <c r="I73" i="5"/>
  <c r="H73" i="5"/>
  <c r="E73" i="5"/>
  <c r="I72" i="5"/>
  <c r="H72" i="5"/>
  <c r="E72" i="5"/>
  <c r="I71" i="5"/>
  <c r="H71" i="5"/>
  <c r="E71" i="5"/>
  <c r="I70" i="5"/>
  <c r="H70" i="5"/>
  <c r="E70" i="5"/>
  <c r="I69" i="5"/>
  <c r="H69" i="5"/>
  <c r="E69" i="5"/>
  <c r="I68" i="5"/>
  <c r="H68" i="5"/>
  <c r="E68" i="5"/>
  <c r="I67" i="5"/>
  <c r="H67" i="5"/>
  <c r="E67" i="5"/>
  <c r="I66" i="5"/>
  <c r="H66" i="5"/>
  <c r="E66" i="5"/>
  <c r="I65" i="5"/>
  <c r="H65" i="5"/>
  <c r="E65" i="5"/>
  <c r="I64" i="5"/>
  <c r="H64" i="5"/>
  <c r="E64" i="5"/>
  <c r="I63" i="5"/>
  <c r="H63" i="5"/>
  <c r="E63" i="5"/>
  <c r="I62" i="5"/>
  <c r="H62" i="5"/>
  <c r="E62" i="5"/>
  <c r="I61" i="5"/>
  <c r="H61" i="5"/>
  <c r="E61" i="5"/>
  <c r="I60" i="5"/>
  <c r="H60" i="5"/>
  <c r="E60" i="5"/>
  <c r="I59" i="5"/>
  <c r="H59" i="5"/>
  <c r="E59" i="5"/>
  <c r="I58" i="5"/>
  <c r="H58" i="5"/>
  <c r="E58" i="5"/>
  <c r="I57" i="5"/>
  <c r="H57" i="5"/>
  <c r="E57" i="5"/>
  <c r="I56" i="5"/>
  <c r="H56" i="5"/>
  <c r="E56" i="5"/>
  <c r="I55" i="5"/>
  <c r="H55" i="5"/>
  <c r="E55" i="5"/>
  <c r="I54" i="5"/>
  <c r="H54" i="5"/>
  <c r="E54" i="5"/>
  <c r="I53" i="5"/>
  <c r="H53" i="5"/>
  <c r="E53" i="5"/>
  <c r="I52" i="5"/>
  <c r="H52" i="5"/>
  <c r="E52" i="5"/>
  <c r="I51" i="5"/>
  <c r="H51" i="5"/>
  <c r="E51" i="5"/>
  <c r="I50" i="5"/>
  <c r="H50" i="5"/>
  <c r="E50" i="5"/>
  <c r="I49" i="5"/>
  <c r="H49" i="5"/>
  <c r="E49" i="5"/>
  <c r="I48" i="5"/>
  <c r="H48" i="5"/>
  <c r="E48" i="5"/>
  <c r="I47" i="5"/>
  <c r="H47" i="5"/>
  <c r="E47" i="5"/>
  <c r="I46" i="5"/>
  <c r="H46" i="5"/>
  <c r="E46" i="5"/>
  <c r="I45" i="5"/>
  <c r="H45" i="5"/>
  <c r="E45" i="5"/>
  <c r="I44" i="5"/>
  <c r="H44" i="5"/>
  <c r="E44" i="5"/>
  <c r="I43" i="5"/>
  <c r="H43" i="5"/>
  <c r="E43" i="5"/>
  <c r="I42" i="5"/>
  <c r="H42" i="5"/>
  <c r="E42" i="5"/>
  <c r="I41" i="5"/>
  <c r="H41" i="5"/>
  <c r="E41" i="5"/>
  <c r="I40" i="5"/>
  <c r="H40" i="5"/>
  <c r="E40" i="5"/>
  <c r="I39" i="5"/>
  <c r="H39" i="5"/>
  <c r="E39" i="5"/>
  <c r="I38" i="5"/>
  <c r="H38" i="5"/>
  <c r="E38" i="5"/>
  <c r="I37" i="5"/>
  <c r="H37" i="5"/>
  <c r="E37" i="5"/>
  <c r="I36" i="5"/>
  <c r="H36" i="5"/>
  <c r="E36" i="5"/>
  <c r="I35" i="5"/>
  <c r="H35" i="5"/>
  <c r="E35" i="5"/>
  <c r="I34" i="5"/>
  <c r="H34" i="5"/>
  <c r="E34" i="5"/>
  <c r="I33" i="5"/>
  <c r="H33" i="5"/>
  <c r="E33" i="5"/>
  <c r="I32" i="5"/>
  <c r="H32" i="5"/>
  <c r="E32" i="5"/>
  <c r="I31" i="5"/>
  <c r="H31" i="5"/>
  <c r="E31" i="5"/>
  <c r="I30" i="5"/>
  <c r="H30" i="5"/>
  <c r="E30" i="5"/>
  <c r="I29" i="5"/>
  <c r="H29" i="5"/>
  <c r="E29" i="5"/>
  <c r="I28" i="5"/>
  <c r="H28" i="5"/>
  <c r="E28" i="5"/>
  <c r="I27" i="5"/>
  <c r="H27" i="5"/>
  <c r="E27" i="5"/>
  <c r="I26" i="5"/>
  <c r="H26" i="5"/>
  <c r="E26" i="5"/>
  <c r="I25" i="5"/>
  <c r="H25" i="5"/>
  <c r="E25" i="5"/>
  <c r="I24" i="5"/>
  <c r="H24" i="5"/>
  <c r="E24" i="5"/>
  <c r="I23" i="5"/>
  <c r="H23" i="5"/>
  <c r="E23" i="5"/>
  <c r="I22" i="5"/>
  <c r="H22" i="5"/>
  <c r="E22" i="5"/>
  <c r="I21" i="5"/>
  <c r="H21" i="5"/>
  <c r="E21" i="5"/>
  <c r="I20" i="5"/>
  <c r="H20" i="5"/>
  <c r="E20" i="5"/>
  <c r="I19" i="5"/>
  <c r="H19" i="5"/>
  <c r="E19" i="5"/>
  <c r="I18" i="5"/>
  <c r="H18" i="5"/>
  <c r="E18" i="5"/>
  <c r="I17" i="5"/>
  <c r="H17" i="5"/>
  <c r="E17" i="5"/>
  <c r="I16" i="5"/>
  <c r="H16" i="5"/>
  <c r="E16" i="5"/>
  <c r="I15" i="5"/>
  <c r="H15" i="5"/>
  <c r="E15" i="5"/>
  <c r="I14" i="5"/>
  <c r="H14" i="5"/>
  <c r="E14" i="5"/>
  <c r="I13" i="5"/>
  <c r="H13" i="5"/>
  <c r="E13" i="5"/>
  <c r="I12" i="5"/>
  <c r="H12" i="5"/>
  <c r="E12" i="5"/>
  <c r="I11" i="5"/>
  <c r="H11" i="5"/>
  <c r="E11" i="5"/>
  <c r="I10" i="5"/>
  <c r="H10" i="5"/>
  <c r="E10" i="5"/>
  <c r="I9" i="5"/>
  <c r="H9" i="5"/>
  <c r="E9" i="5"/>
  <c r="I8" i="5"/>
  <c r="H8" i="5"/>
  <c r="E8" i="5"/>
  <c r="I7" i="5"/>
  <c r="H7" i="5"/>
  <c r="E7" i="5"/>
  <c r="I6" i="5"/>
  <c r="H6" i="5"/>
  <c r="E6" i="5"/>
  <c r="I5" i="5"/>
  <c r="H5" i="5"/>
  <c r="E5" i="5"/>
  <c r="I4" i="5"/>
  <c r="H4" i="5"/>
  <c r="E4" i="5"/>
  <c r="I3" i="5"/>
  <c r="H3" i="5"/>
  <c r="E3" i="5"/>
  <c r="I2" i="5"/>
  <c r="H2" i="5"/>
  <c r="E2" i="5"/>
  <c r="I330" i="4"/>
  <c r="H330" i="4"/>
  <c r="G330" i="4"/>
  <c r="E330" i="4"/>
  <c r="I329" i="4"/>
  <c r="H329" i="4"/>
  <c r="G329" i="4"/>
  <c r="E329" i="4"/>
  <c r="I328" i="4"/>
  <c r="H328" i="4"/>
  <c r="G328" i="4"/>
  <c r="E328" i="4"/>
  <c r="I327" i="4"/>
  <c r="H327" i="4"/>
  <c r="G327" i="4"/>
  <c r="E327" i="4"/>
  <c r="I314" i="4"/>
  <c r="H314" i="4"/>
  <c r="G314" i="4"/>
  <c r="E314" i="4"/>
  <c r="I313" i="4"/>
  <c r="H313" i="4"/>
  <c r="G313" i="4"/>
  <c r="E313" i="4"/>
  <c r="I312" i="4"/>
  <c r="H312" i="4"/>
  <c r="G312" i="4"/>
  <c r="E312" i="4"/>
  <c r="I311" i="4"/>
  <c r="H311" i="4"/>
  <c r="G311" i="4"/>
  <c r="E311" i="4"/>
  <c r="I310" i="4"/>
  <c r="H310" i="4"/>
  <c r="G310" i="4"/>
  <c r="E310" i="4"/>
  <c r="I309" i="4"/>
  <c r="H309" i="4"/>
  <c r="G309" i="4"/>
  <c r="E309" i="4"/>
  <c r="I308" i="4"/>
  <c r="H308" i="4"/>
  <c r="G308" i="4"/>
  <c r="E308" i="4"/>
  <c r="I307" i="4"/>
  <c r="H307" i="4"/>
  <c r="G307" i="4"/>
  <c r="E307" i="4"/>
  <c r="I306" i="4"/>
  <c r="H306" i="4"/>
  <c r="G306" i="4"/>
  <c r="E306" i="4"/>
  <c r="I305" i="4"/>
  <c r="H305" i="4"/>
  <c r="G305" i="4"/>
  <c r="E305" i="4"/>
  <c r="I304" i="4"/>
  <c r="H304" i="4"/>
  <c r="G304" i="4"/>
  <c r="E304" i="4"/>
  <c r="I303" i="4"/>
  <c r="H303" i="4"/>
  <c r="G303" i="4"/>
  <c r="E303" i="4"/>
  <c r="I302" i="4"/>
  <c r="H302" i="4"/>
  <c r="G302" i="4"/>
  <c r="E302" i="4"/>
  <c r="I301" i="4"/>
  <c r="H301" i="4"/>
  <c r="G301" i="4"/>
  <c r="E301" i="4"/>
  <c r="I300" i="4"/>
  <c r="H300" i="4"/>
  <c r="G300" i="4"/>
  <c r="E300" i="4"/>
  <c r="I299" i="4"/>
  <c r="H299" i="4"/>
  <c r="G299" i="4"/>
  <c r="E299" i="4"/>
  <c r="I298" i="4"/>
  <c r="H298" i="4"/>
  <c r="G298" i="4"/>
  <c r="E298" i="4"/>
  <c r="I297" i="4"/>
  <c r="H297" i="4"/>
  <c r="G297" i="4"/>
  <c r="E297" i="4"/>
  <c r="I296" i="4"/>
  <c r="H296" i="4"/>
  <c r="G296" i="4"/>
  <c r="E296" i="4"/>
  <c r="I295" i="4"/>
  <c r="H295" i="4"/>
  <c r="G295" i="4"/>
  <c r="E295" i="4"/>
  <c r="I294" i="4"/>
  <c r="H294" i="4"/>
  <c r="G294" i="4"/>
  <c r="E294" i="4"/>
  <c r="I293" i="4"/>
  <c r="H293" i="4"/>
  <c r="G293" i="4"/>
  <c r="E293" i="4"/>
  <c r="I292" i="4"/>
  <c r="H292" i="4"/>
  <c r="G292" i="4"/>
  <c r="E292" i="4"/>
  <c r="I291" i="4"/>
  <c r="H291" i="4"/>
  <c r="G291" i="4"/>
  <c r="E291" i="4"/>
  <c r="I290" i="4"/>
  <c r="H290" i="4"/>
  <c r="G290" i="4"/>
  <c r="E290" i="4"/>
  <c r="I289" i="4"/>
  <c r="H289" i="4"/>
  <c r="G289" i="4"/>
  <c r="E289" i="4"/>
  <c r="I288" i="4"/>
  <c r="H288" i="4"/>
  <c r="G288" i="4"/>
  <c r="E288" i="4"/>
  <c r="I287" i="4"/>
  <c r="H287" i="4"/>
  <c r="G287" i="4"/>
  <c r="E287" i="4"/>
  <c r="I326" i="4"/>
  <c r="H326" i="4"/>
  <c r="G326" i="4"/>
  <c r="E326" i="4"/>
  <c r="I325" i="4"/>
  <c r="H325" i="4"/>
  <c r="G325" i="4"/>
  <c r="E325" i="4"/>
  <c r="I324" i="4"/>
  <c r="H324" i="4"/>
  <c r="G324" i="4"/>
  <c r="E324" i="4"/>
  <c r="I323" i="4"/>
  <c r="H323" i="4"/>
  <c r="G323" i="4"/>
  <c r="E323" i="4"/>
  <c r="I282" i="4"/>
  <c r="H282" i="4"/>
  <c r="E282" i="4"/>
  <c r="I281" i="4"/>
  <c r="H281" i="4"/>
  <c r="E281" i="4"/>
  <c r="I280" i="4"/>
  <c r="H280" i="4"/>
  <c r="E280" i="4"/>
  <c r="I279" i="4"/>
  <c r="H279" i="4"/>
  <c r="E279" i="4"/>
  <c r="I278" i="4"/>
  <c r="H278" i="4"/>
  <c r="E278" i="4"/>
  <c r="I277" i="4"/>
  <c r="H277" i="4"/>
  <c r="E277" i="4"/>
  <c r="I276" i="4"/>
  <c r="H276" i="4"/>
  <c r="E276" i="4"/>
  <c r="I275" i="4"/>
  <c r="H275" i="4"/>
  <c r="E275" i="4"/>
  <c r="I274" i="4"/>
  <c r="H274" i="4"/>
  <c r="E274" i="4"/>
  <c r="I273" i="4"/>
  <c r="H273" i="4"/>
  <c r="E273" i="4"/>
  <c r="I272" i="4"/>
  <c r="H272" i="4"/>
  <c r="E272" i="4"/>
  <c r="I271" i="4"/>
  <c r="H271" i="4"/>
  <c r="E271" i="4"/>
  <c r="I270" i="4"/>
  <c r="H270" i="4"/>
  <c r="E270" i="4"/>
  <c r="I269" i="4"/>
  <c r="H269" i="4"/>
  <c r="E269" i="4"/>
  <c r="I268" i="4"/>
  <c r="H268" i="4"/>
  <c r="E268" i="4"/>
  <c r="I267" i="4"/>
  <c r="H267" i="4"/>
  <c r="E267" i="4"/>
  <c r="I266" i="4"/>
  <c r="H266" i="4"/>
  <c r="E266" i="4"/>
  <c r="I265" i="4"/>
  <c r="H265" i="4"/>
  <c r="E265" i="4"/>
  <c r="I264" i="4"/>
  <c r="H264" i="4"/>
  <c r="E264" i="4"/>
  <c r="I263" i="4"/>
  <c r="H263" i="4"/>
  <c r="E263" i="4"/>
  <c r="I262" i="4"/>
  <c r="H262" i="4"/>
  <c r="E262" i="4"/>
  <c r="I261" i="4"/>
  <c r="H261" i="4"/>
  <c r="E261" i="4"/>
  <c r="I260" i="4"/>
  <c r="H260" i="4"/>
  <c r="E260" i="4"/>
  <c r="I259" i="4"/>
  <c r="H259" i="4"/>
  <c r="E259" i="4"/>
  <c r="I258" i="4"/>
  <c r="H258" i="4"/>
  <c r="E258" i="4"/>
  <c r="I257" i="4"/>
  <c r="H257" i="4"/>
  <c r="E257" i="4"/>
  <c r="I256" i="4"/>
  <c r="H256" i="4"/>
  <c r="E256" i="4"/>
  <c r="I255" i="4"/>
  <c r="H255" i="4"/>
  <c r="E255" i="4"/>
  <c r="I254" i="4"/>
  <c r="H254" i="4"/>
  <c r="E254" i="4"/>
  <c r="I253" i="4"/>
  <c r="H253" i="4"/>
  <c r="E253" i="4"/>
  <c r="I252" i="4"/>
  <c r="H252" i="4"/>
  <c r="E252" i="4"/>
  <c r="I251" i="4"/>
  <c r="H251" i="4"/>
  <c r="E251" i="4"/>
  <c r="I250" i="4"/>
  <c r="H250" i="4"/>
  <c r="E250" i="4"/>
  <c r="I249" i="4"/>
  <c r="H249" i="4"/>
  <c r="E249" i="4"/>
  <c r="I248" i="4"/>
  <c r="H248" i="4"/>
  <c r="E248" i="4"/>
  <c r="I247" i="4"/>
  <c r="H247" i="4"/>
  <c r="E247" i="4"/>
  <c r="I246" i="4"/>
  <c r="H246" i="4"/>
  <c r="E246" i="4"/>
  <c r="I245" i="4"/>
  <c r="H245" i="4"/>
  <c r="E245" i="4"/>
  <c r="I244" i="4"/>
  <c r="H244" i="4"/>
  <c r="E244" i="4"/>
  <c r="I243" i="4"/>
  <c r="H243" i="4"/>
  <c r="E243" i="4"/>
  <c r="I242" i="4"/>
  <c r="H242" i="4"/>
  <c r="E242" i="4"/>
  <c r="I241" i="4"/>
  <c r="H241" i="4"/>
  <c r="E241" i="4"/>
  <c r="I240" i="4"/>
  <c r="H240" i="4"/>
  <c r="E240" i="4"/>
  <c r="I239" i="4"/>
  <c r="H239" i="4"/>
  <c r="E239" i="4"/>
  <c r="I238" i="4"/>
  <c r="H238" i="4"/>
  <c r="E238" i="4"/>
  <c r="I237" i="4"/>
  <c r="H237" i="4"/>
  <c r="E237" i="4"/>
  <c r="I236" i="4"/>
  <c r="H236" i="4"/>
  <c r="E236" i="4"/>
  <c r="I235" i="4"/>
  <c r="H235" i="4"/>
  <c r="E235" i="4"/>
  <c r="I234" i="4"/>
  <c r="H234" i="4"/>
  <c r="E234" i="4"/>
  <c r="I233" i="4"/>
  <c r="H233" i="4"/>
  <c r="E233" i="4"/>
  <c r="I232" i="4"/>
  <c r="H232" i="4"/>
  <c r="E232" i="4"/>
  <c r="I231" i="4"/>
  <c r="H231" i="4"/>
  <c r="E231" i="4"/>
  <c r="I230" i="4"/>
  <c r="H230" i="4"/>
  <c r="E230" i="4"/>
  <c r="I229" i="4"/>
  <c r="H229" i="4"/>
  <c r="E229" i="4"/>
  <c r="I228" i="4"/>
  <c r="H228" i="4"/>
  <c r="E228" i="4"/>
  <c r="I227" i="4"/>
  <c r="H227" i="4"/>
  <c r="E227" i="4"/>
  <c r="I226" i="4"/>
  <c r="H226" i="4"/>
  <c r="E226" i="4"/>
  <c r="I225" i="4"/>
  <c r="H225" i="4"/>
  <c r="E225" i="4"/>
  <c r="I224" i="4"/>
  <c r="H224" i="4"/>
  <c r="E224" i="4"/>
  <c r="I223" i="4"/>
  <c r="H223" i="4"/>
  <c r="E223" i="4"/>
  <c r="I222" i="4"/>
  <c r="H222" i="4"/>
  <c r="E222" i="4"/>
  <c r="I221" i="4"/>
  <c r="H221" i="4"/>
  <c r="E221" i="4"/>
  <c r="I220" i="4"/>
  <c r="H220" i="4"/>
  <c r="E220" i="4"/>
  <c r="I219" i="4"/>
  <c r="H219" i="4"/>
  <c r="E219" i="4"/>
  <c r="I218" i="4"/>
  <c r="H218" i="4"/>
  <c r="E218" i="4"/>
  <c r="I217" i="4"/>
  <c r="H217" i="4"/>
  <c r="E217" i="4"/>
  <c r="I216" i="4"/>
  <c r="H216" i="4"/>
  <c r="E216" i="4"/>
  <c r="I215" i="4"/>
  <c r="H215" i="4"/>
  <c r="E215" i="4"/>
  <c r="I214" i="4"/>
  <c r="H214" i="4"/>
  <c r="E214" i="4"/>
  <c r="I213" i="4"/>
  <c r="H213" i="4"/>
  <c r="E213" i="4"/>
  <c r="I212" i="4"/>
  <c r="H212" i="4"/>
  <c r="E212" i="4"/>
  <c r="I211" i="4"/>
  <c r="H211" i="4"/>
  <c r="E211" i="4"/>
  <c r="I210" i="4"/>
  <c r="H210" i="4"/>
  <c r="E210" i="4"/>
  <c r="I209" i="4"/>
  <c r="H209" i="4"/>
  <c r="E209" i="4"/>
  <c r="I208" i="4"/>
  <c r="H208" i="4"/>
  <c r="E208" i="4"/>
  <c r="I207" i="4"/>
  <c r="H207" i="4"/>
  <c r="E207" i="4"/>
  <c r="I206" i="4"/>
  <c r="H206" i="4"/>
  <c r="E206" i="4"/>
  <c r="I205" i="4"/>
  <c r="H205" i="4"/>
  <c r="E205" i="4"/>
  <c r="I204" i="4"/>
  <c r="H204" i="4"/>
  <c r="E204" i="4"/>
  <c r="I203" i="4"/>
  <c r="H203" i="4"/>
  <c r="E203" i="4"/>
  <c r="I202" i="4"/>
  <c r="H202" i="4"/>
  <c r="E202" i="4"/>
  <c r="I201" i="4"/>
  <c r="H201" i="4"/>
  <c r="E201" i="4"/>
  <c r="I200" i="4"/>
  <c r="H200" i="4"/>
  <c r="E200" i="4"/>
  <c r="I199" i="4"/>
  <c r="H199" i="4"/>
  <c r="E199" i="4"/>
  <c r="I198" i="4"/>
  <c r="H198" i="4"/>
  <c r="E198" i="4"/>
  <c r="I197" i="4"/>
  <c r="H197" i="4"/>
  <c r="E197" i="4"/>
  <c r="I196" i="4"/>
  <c r="H196" i="4"/>
  <c r="E196" i="4"/>
  <c r="I195" i="4"/>
  <c r="H195" i="4"/>
  <c r="E195" i="4"/>
  <c r="I194" i="4"/>
  <c r="H194" i="4"/>
  <c r="E194" i="4"/>
  <c r="I193" i="4"/>
  <c r="H193" i="4"/>
  <c r="E193" i="4"/>
  <c r="I192" i="4"/>
  <c r="H192" i="4"/>
  <c r="E192" i="4"/>
  <c r="I191" i="4"/>
  <c r="H191" i="4"/>
  <c r="E191" i="4"/>
  <c r="I190" i="4"/>
  <c r="H190" i="4"/>
  <c r="E190" i="4"/>
  <c r="I189" i="4"/>
  <c r="H189" i="4"/>
  <c r="E189" i="4"/>
  <c r="I188" i="4"/>
  <c r="H188" i="4"/>
  <c r="E188" i="4"/>
  <c r="I187" i="4"/>
  <c r="H187" i="4"/>
  <c r="E187" i="4"/>
  <c r="I186" i="4"/>
  <c r="H186" i="4"/>
  <c r="E186" i="4"/>
  <c r="I185" i="4"/>
  <c r="H185" i="4"/>
  <c r="E185" i="4"/>
  <c r="I184" i="4"/>
  <c r="H184" i="4"/>
  <c r="E184" i="4"/>
  <c r="I183" i="4"/>
  <c r="H183" i="4"/>
  <c r="E183" i="4"/>
  <c r="I182" i="4"/>
  <c r="H182" i="4"/>
  <c r="E182" i="4"/>
  <c r="I181" i="4"/>
  <c r="H181" i="4"/>
  <c r="E181" i="4"/>
  <c r="I180" i="4"/>
  <c r="H180" i="4"/>
  <c r="E180" i="4"/>
  <c r="I179" i="4"/>
  <c r="H179" i="4"/>
  <c r="E179" i="4"/>
  <c r="I178" i="4"/>
  <c r="H178" i="4"/>
  <c r="E178" i="4"/>
  <c r="I177" i="4"/>
  <c r="H177" i="4"/>
  <c r="E177" i="4"/>
  <c r="I176" i="4"/>
  <c r="H176" i="4"/>
  <c r="E176" i="4"/>
  <c r="I175" i="4"/>
  <c r="H175" i="4"/>
  <c r="E175" i="4"/>
  <c r="I174" i="4"/>
  <c r="H174" i="4"/>
  <c r="E174" i="4"/>
  <c r="I173" i="4"/>
  <c r="H173" i="4"/>
  <c r="E173" i="4"/>
  <c r="I172" i="4"/>
  <c r="H172" i="4"/>
  <c r="E172" i="4"/>
  <c r="I171" i="4"/>
  <c r="H171" i="4"/>
  <c r="E171" i="4"/>
  <c r="I170" i="4"/>
  <c r="H170" i="4"/>
  <c r="E170" i="4"/>
  <c r="I169" i="4"/>
  <c r="H169" i="4"/>
  <c r="E169" i="4"/>
  <c r="I168" i="4"/>
  <c r="H168" i="4"/>
  <c r="E168" i="4"/>
  <c r="I167" i="4"/>
  <c r="H167" i="4"/>
  <c r="E167" i="4"/>
  <c r="I166" i="4"/>
  <c r="H166" i="4"/>
  <c r="E166" i="4"/>
  <c r="I165" i="4"/>
  <c r="H165" i="4"/>
  <c r="E165" i="4"/>
  <c r="I164" i="4"/>
  <c r="H164" i="4"/>
  <c r="E164" i="4"/>
  <c r="I163" i="4"/>
  <c r="H163" i="4"/>
  <c r="E163" i="4"/>
  <c r="I162" i="4"/>
  <c r="H162" i="4"/>
  <c r="E162" i="4"/>
  <c r="I161" i="4"/>
  <c r="H161" i="4"/>
  <c r="E161" i="4"/>
  <c r="I160" i="4"/>
  <c r="H160" i="4"/>
  <c r="E160" i="4"/>
  <c r="I159" i="4"/>
  <c r="H159" i="4"/>
  <c r="E159" i="4"/>
  <c r="I158" i="4"/>
  <c r="H158" i="4"/>
  <c r="E158" i="4"/>
  <c r="I157" i="4"/>
  <c r="H157" i="4"/>
  <c r="E157" i="4"/>
  <c r="I156" i="4"/>
  <c r="H156" i="4"/>
  <c r="E156" i="4"/>
  <c r="I155" i="4"/>
  <c r="H155" i="4"/>
  <c r="E155" i="4"/>
  <c r="I154" i="4"/>
  <c r="H154" i="4"/>
  <c r="E154" i="4"/>
  <c r="I153" i="4"/>
  <c r="H153" i="4"/>
  <c r="E153" i="4"/>
  <c r="I152" i="4"/>
  <c r="H152" i="4"/>
  <c r="E152" i="4"/>
  <c r="I151" i="4"/>
  <c r="H151" i="4"/>
  <c r="E151" i="4"/>
  <c r="I150" i="4"/>
  <c r="H150" i="4"/>
  <c r="E150" i="4"/>
  <c r="I149" i="4"/>
  <c r="H149" i="4"/>
  <c r="E149" i="4"/>
  <c r="I148" i="4"/>
  <c r="H148" i="4"/>
  <c r="E148" i="4"/>
  <c r="I147" i="4"/>
  <c r="H147" i="4"/>
  <c r="E147" i="4"/>
  <c r="I146" i="4"/>
  <c r="H146" i="4"/>
  <c r="E146" i="4"/>
  <c r="I145" i="4"/>
  <c r="H145" i="4"/>
  <c r="E145" i="4"/>
  <c r="I144" i="4"/>
  <c r="H144" i="4"/>
  <c r="E144" i="4"/>
  <c r="I143" i="4"/>
  <c r="H143" i="4"/>
  <c r="E143" i="4"/>
  <c r="I142" i="4"/>
  <c r="H142" i="4"/>
  <c r="E142" i="4"/>
  <c r="I141" i="4"/>
  <c r="H141" i="4"/>
  <c r="E141" i="4"/>
  <c r="I140" i="4"/>
  <c r="H140" i="4"/>
  <c r="E140" i="4"/>
  <c r="I139" i="4"/>
  <c r="H139" i="4"/>
  <c r="E139" i="4"/>
  <c r="I138" i="4"/>
  <c r="H138" i="4"/>
  <c r="E138" i="4"/>
  <c r="I137" i="4"/>
  <c r="H137" i="4"/>
  <c r="E137" i="4"/>
  <c r="I136" i="4"/>
  <c r="H136" i="4"/>
  <c r="E136" i="4"/>
  <c r="I135" i="4"/>
  <c r="H135" i="4"/>
  <c r="E135" i="4"/>
  <c r="I134" i="4"/>
  <c r="H134" i="4"/>
  <c r="E134" i="4"/>
  <c r="I133" i="4"/>
  <c r="H133" i="4"/>
  <c r="E133" i="4"/>
  <c r="I132" i="4"/>
  <c r="H132" i="4"/>
  <c r="E132" i="4"/>
  <c r="I131" i="4"/>
  <c r="H131" i="4"/>
  <c r="E131" i="4"/>
  <c r="I130" i="4"/>
  <c r="H130" i="4"/>
  <c r="E130" i="4"/>
  <c r="I129" i="4"/>
  <c r="H129" i="4"/>
  <c r="E129" i="4"/>
  <c r="I128" i="4"/>
  <c r="H128" i="4"/>
  <c r="E128" i="4"/>
  <c r="I127" i="4"/>
  <c r="H127" i="4"/>
  <c r="E127" i="4"/>
  <c r="I126" i="4"/>
  <c r="H126" i="4"/>
  <c r="E126" i="4"/>
  <c r="I125" i="4"/>
  <c r="H125" i="4"/>
  <c r="E125" i="4"/>
  <c r="I124" i="4"/>
  <c r="H124" i="4"/>
  <c r="E124" i="4"/>
  <c r="I123" i="4"/>
  <c r="H123" i="4"/>
  <c r="E123" i="4"/>
  <c r="I122" i="4"/>
  <c r="H122" i="4"/>
  <c r="E122" i="4"/>
  <c r="I121" i="4"/>
  <c r="H121" i="4"/>
  <c r="E121" i="4"/>
  <c r="I120" i="4"/>
  <c r="H120" i="4"/>
  <c r="E120" i="4"/>
  <c r="I119" i="4"/>
  <c r="H119" i="4"/>
  <c r="E119" i="4"/>
  <c r="I118" i="4"/>
  <c r="H118" i="4"/>
  <c r="E118" i="4"/>
  <c r="I117" i="4"/>
  <c r="H117" i="4"/>
  <c r="E117" i="4"/>
  <c r="I116" i="4"/>
  <c r="H116" i="4"/>
  <c r="E116" i="4"/>
  <c r="I115" i="4"/>
  <c r="H115" i="4"/>
  <c r="E115" i="4"/>
  <c r="I114" i="4"/>
  <c r="H114" i="4"/>
  <c r="E114" i="4"/>
  <c r="I113" i="4"/>
  <c r="H113" i="4"/>
  <c r="E113" i="4"/>
  <c r="I112" i="4"/>
  <c r="H112" i="4"/>
  <c r="E112" i="4"/>
  <c r="I111" i="4"/>
  <c r="H111" i="4"/>
  <c r="E111" i="4"/>
  <c r="I110" i="4"/>
  <c r="H110" i="4"/>
  <c r="E110" i="4"/>
  <c r="I109" i="4"/>
  <c r="H109" i="4"/>
  <c r="E109" i="4"/>
  <c r="I108" i="4"/>
  <c r="H108" i="4"/>
  <c r="E108" i="4"/>
  <c r="I107" i="4"/>
  <c r="H107" i="4"/>
  <c r="E107" i="4"/>
  <c r="I106" i="4"/>
  <c r="H106" i="4"/>
  <c r="E106" i="4"/>
  <c r="I105" i="4"/>
  <c r="H105" i="4"/>
  <c r="E105" i="4"/>
  <c r="I104" i="4"/>
  <c r="H104" i="4"/>
  <c r="E104" i="4"/>
  <c r="I103" i="4"/>
  <c r="H103" i="4"/>
  <c r="E103" i="4"/>
  <c r="I102" i="4"/>
  <c r="H102" i="4"/>
  <c r="E102" i="4"/>
  <c r="I101" i="4"/>
  <c r="H101" i="4"/>
  <c r="E101" i="4"/>
  <c r="I100" i="4"/>
  <c r="H100" i="4"/>
  <c r="E100" i="4"/>
  <c r="I99" i="4"/>
  <c r="H99" i="4"/>
  <c r="E99" i="4"/>
  <c r="I98" i="4"/>
  <c r="H98" i="4"/>
  <c r="E98" i="4"/>
  <c r="I97" i="4"/>
  <c r="H97" i="4"/>
  <c r="E97" i="4"/>
  <c r="I96" i="4"/>
  <c r="H96" i="4"/>
  <c r="E96" i="4"/>
  <c r="I95" i="4"/>
  <c r="H95" i="4"/>
  <c r="E95" i="4"/>
  <c r="I94" i="4"/>
  <c r="H94" i="4"/>
  <c r="E94" i="4"/>
  <c r="I93" i="4"/>
  <c r="H93" i="4"/>
  <c r="E93" i="4"/>
  <c r="I92" i="4"/>
  <c r="H92" i="4"/>
  <c r="E92" i="4"/>
  <c r="I91" i="4"/>
  <c r="H91" i="4"/>
  <c r="E91" i="4"/>
  <c r="I90" i="4"/>
  <c r="H90" i="4"/>
  <c r="E90" i="4"/>
  <c r="I89" i="4"/>
  <c r="H89" i="4"/>
  <c r="E89" i="4"/>
  <c r="I88" i="4"/>
  <c r="H88" i="4"/>
  <c r="E88" i="4"/>
  <c r="I87" i="4"/>
  <c r="H87" i="4"/>
  <c r="E87" i="4"/>
  <c r="I86" i="4"/>
  <c r="H86" i="4"/>
  <c r="E86" i="4"/>
  <c r="I85" i="4"/>
  <c r="H85" i="4"/>
  <c r="E85" i="4"/>
  <c r="I84" i="4"/>
  <c r="H84" i="4"/>
  <c r="E84" i="4"/>
  <c r="I83" i="4"/>
  <c r="H83" i="4"/>
  <c r="E83" i="4"/>
  <c r="I322" i="4"/>
  <c r="H322" i="4"/>
  <c r="G322" i="4"/>
  <c r="E322" i="4"/>
  <c r="I81" i="4"/>
  <c r="H81" i="4"/>
  <c r="E81" i="4"/>
  <c r="I80" i="4"/>
  <c r="H80" i="4"/>
  <c r="E80" i="4"/>
  <c r="I79" i="4"/>
  <c r="H79" i="4"/>
  <c r="E79" i="4"/>
  <c r="I78" i="4"/>
  <c r="H78" i="4"/>
  <c r="E78" i="4"/>
  <c r="I77" i="4"/>
  <c r="H77" i="4"/>
  <c r="E77" i="4"/>
  <c r="I76" i="4"/>
  <c r="H76" i="4"/>
  <c r="E76" i="4"/>
  <c r="I75" i="4"/>
  <c r="H75" i="4"/>
  <c r="E75" i="4"/>
  <c r="I74" i="4"/>
  <c r="H74" i="4"/>
  <c r="E74" i="4"/>
  <c r="I73" i="4"/>
  <c r="H73" i="4"/>
  <c r="E73" i="4"/>
  <c r="I72" i="4"/>
  <c r="H72" i="4"/>
  <c r="E72" i="4"/>
  <c r="I71" i="4"/>
  <c r="H71" i="4"/>
  <c r="E71" i="4"/>
  <c r="I70" i="4"/>
  <c r="H70" i="4"/>
  <c r="E70" i="4"/>
  <c r="I69" i="4"/>
  <c r="H69" i="4"/>
  <c r="E69" i="4"/>
  <c r="I68" i="4"/>
  <c r="H68" i="4"/>
  <c r="E68" i="4"/>
  <c r="I67" i="4"/>
  <c r="H67" i="4"/>
  <c r="E67" i="4"/>
  <c r="I66" i="4"/>
  <c r="H66" i="4"/>
  <c r="E66" i="4"/>
  <c r="I65" i="4"/>
  <c r="H65" i="4"/>
  <c r="E65" i="4"/>
  <c r="I64" i="4"/>
  <c r="H64" i="4"/>
  <c r="E64" i="4"/>
  <c r="I63" i="4"/>
  <c r="H63" i="4"/>
  <c r="E63" i="4"/>
  <c r="I62" i="4"/>
  <c r="H62" i="4"/>
  <c r="E62" i="4"/>
  <c r="I61" i="4"/>
  <c r="H61" i="4"/>
  <c r="E61" i="4"/>
  <c r="I60" i="4"/>
  <c r="H60" i="4"/>
  <c r="E60" i="4"/>
  <c r="I59" i="4"/>
  <c r="H59" i="4"/>
  <c r="E59" i="4"/>
  <c r="I321" i="4"/>
  <c r="H321" i="4"/>
  <c r="G321" i="4"/>
  <c r="E321" i="4"/>
  <c r="I320" i="4"/>
  <c r="H320" i="4"/>
  <c r="G320" i="4"/>
  <c r="E320" i="4"/>
  <c r="I319" i="4"/>
  <c r="H319" i="4"/>
  <c r="G319" i="4"/>
  <c r="E319" i="4"/>
  <c r="I318" i="4"/>
  <c r="H318" i="4"/>
  <c r="G318" i="4"/>
  <c r="E318" i="4"/>
  <c r="I317" i="4"/>
  <c r="H317" i="4"/>
  <c r="G317" i="4"/>
  <c r="E317" i="4"/>
  <c r="I56" i="4"/>
  <c r="H56" i="4"/>
  <c r="E56" i="4"/>
  <c r="I55" i="4"/>
  <c r="H55" i="4"/>
  <c r="E55" i="4"/>
  <c r="I54" i="4"/>
  <c r="H54" i="4"/>
  <c r="E54" i="4"/>
  <c r="I53" i="4"/>
  <c r="H53" i="4"/>
  <c r="E53" i="4"/>
  <c r="I52" i="4"/>
  <c r="H52" i="4"/>
  <c r="E52" i="4"/>
  <c r="I51" i="4"/>
  <c r="H51" i="4"/>
  <c r="E51" i="4"/>
  <c r="I50" i="4"/>
  <c r="H50" i="4"/>
  <c r="E50" i="4"/>
  <c r="I49" i="4"/>
  <c r="H49" i="4"/>
  <c r="E49" i="4"/>
  <c r="I48" i="4"/>
  <c r="H48" i="4"/>
  <c r="E48" i="4"/>
  <c r="I47" i="4"/>
  <c r="H47" i="4"/>
  <c r="E47" i="4"/>
  <c r="I46" i="4"/>
  <c r="H46" i="4"/>
  <c r="E46" i="4"/>
  <c r="I45" i="4"/>
  <c r="H45" i="4"/>
  <c r="E45" i="4"/>
  <c r="I44" i="4"/>
  <c r="H44" i="4"/>
  <c r="E44" i="4"/>
  <c r="I43" i="4"/>
  <c r="H43" i="4"/>
  <c r="E43" i="4"/>
  <c r="I42" i="4"/>
  <c r="H42" i="4"/>
  <c r="E42" i="4"/>
  <c r="I41" i="4"/>
  <c r="H41" i="4"/>
  <c r="E41" i="4"/>
  <c r="I316" i="4"/>
  <c r="H316" i="4"/>
  <c r="G316" i="4"/>
  <c r="E316" i="4"/>
  <c r="I315" i="4"/>
  <c r="H315" i="4"/>
  <c r="G315" i="4"/>
  <c r="E315" i="4"/>
  <c r="I38" i="4"/>
  <c r="H38" i="4"/>
  <c r="E38" i="4"/>
  <c r="I37" i="4"/>
  <c r="H37" i="4"/>
  <c r="E37" i="4"/>
  <c r="I36" i="4"/>
  <c r="H36" i="4"/>
  <c r="E36" i="4"/>
  <c r="I35" i="4"/>
  <c r="H35" i="4"/>
  <c r="E35" i="4"/>
  <c r="I34" i="4"/>
  <c r="H34" i="4"/>
  <c r="E34" i="4"/>
  <c r="I33" i="4"/>
  <c r="H33" i="4"/>
  <c r="E33" i="4"/>
  <c r="I32" i="4"/>
  <c r="H32" i="4"/>
  <c r="E32" i="4"/>
  <c r="I31" i="4"/>
  <c r="H31" i="4"/>
  <c r="E31" i="4"/>
  <c r="I30" i="4"/>
  <c r="H30" i="4"/>
  <c r="E30" i="4"/>
  <c r="I29" i="4"/>
  <c r="H29" i="4"/>
  <c r="E29" i="4"/>
  <c r="I28" i="4"/>
  <c r="H28" i="4"/>
  <c r="E28" i="4"/>
  <c r="I27" i="4"/>
  <c r="H27" i="4"/>
  <c r="E27" i="4"/>
  <c r="I26" i="4"/>
  <c r="H26" i="4"/>
  <c r="E26" i="4"/>
  <c r="I25" i="4"/>
  <c r="H25" i="4"/>
  <c r="E25" i="4"/>
  <c r="I24" i="4"/>
  <c r="H24" i="4"/>
  <c r="E24" i="4"/>
  <c r="I23" i="4"/>
  <c r="H23" i="4"/>
  <c r="E23" i="4"/>
  <c r="I22" i="4"/>
  <c r="H22" i="4"/>
  <c r="E22" i="4"/>
  <c r="I21" i="4"/>
  <c r="H21" i="4"/>
  <c r="E21" i="4"/>
  <c r="I20" i="4"/>
  <c r="H20" i="4"/>
  <c r="E20" i="4"/>
  <c r="I19" i="4"/>
  <c r="H19" i="4"/>
  <c r="E19" i="4"/>
  <c r="I18" i="4"/>
  <c r="H18" i="4"/>
  <c r="E18" i="4"/>
  <c r="I17" i="4"/>
  <c r="H17" i="4"/>
  <c r="E17" i="4"/>
  <c r="I16" i="4"/>
  <c r="H16" i="4"/>
  <c r="E16" i="4"/>
  <c r="I15" i="4"/>
  <c r="H15" i="4"/>
  <c r="E15" i="4"/>
  <c r="I14" i="4"/>
  <c r="H14" i="4"/>
  <c r="E14" i="4"/>
  <c r="I13" i="4"/>
  <c r="H13" i="4"/>
  <c r="E13" i="4"/>
  <c r="I12" i="4"/>
  <c r="H12" i="4"/>
  <c r="E12" i="4"/>
  <c r="I11" i="4"/>
  <c r="H11" i="4"/>
  <c r="E11" i="4"/>
  <c r="I10" i="4"/>
  <c r="H10" i="4"/>
  <c r="E10" i="4"/>
  <c r="I9" i="4"/>
  <c r="H9" i="4"/>
  <c r="E9" i="4"/>
  <c r="I8" i="4"/>
  <c r="H8" i="4"/>
  <c r="E8" i="4"/>
  <c r="I7" i="4"/>
  <c r="H7" i="4"/>
  <c r="E7" i="4"/>
  <c r="I6" i="4"/>
  <c r="H6" i="4"/>
  <c r="E6" i="4"/>
  <c r="I5" i="4"/>
  <c r="H5" i="4"/>
  <c r="E5" i="4"/>
  <c r="I4" i="4"/>
  <c r="H4" i="4"/>
  <c r="E4" i="4"/>
  <c r="I3" i="4"/>
  <c r="H3" i="4"/>
  <c r="E3" i="4"/>
  <c r="I2" i="4"/>
  <c r="H2" i="4"/>
  <c r="E2" i="4"/>
  <c r="I289" i="7" l="1"/>
  <c r="H289" i="7"/>
  <c r="G289" i="7"/>
  <c r="E289" i="7"/>
  <c r="I288" i="7"/>
  <c r="H288" i="7"/>
  <c r="G288" i="7"/>
  <c r="E288" i="7"/>
  <c r="I287" i="7"/>
  <c r="H287" i="7"/>
  <c r="G287" i="7"/>
  <c r="E287" i="7"/>
  <c r="I286" i="7"/>
  <c r="H286" i="7"/>
  <c r="G286" i="7"/>
  <c r="E286" i="7"/>
  <c r="I285" i="7"/>
  <c r="H285" i="7"/>
  <c r="G285" i="7"/>
  <c r="E285" i="7"/>
  <c r="I284" i="7"/>
  <c r="H284" i="7"/>
  <c r="G284" i="7"/>
  <c r="E284" i="7"/>
  <c r="I283" i="7"/>
  <c r="H283" i="7"/>
  <c r="G283" i="7"/>
  <c r="E283" i="7"/>
  <c r="I282" i="7"/>
  <c r="H282" i="7"/>
  <c r="G282" i="7"/>
  <c r="E282" i="7"/>
  <c r="I281" i="7"/>
  <c r="H281" i="7"/>
  <c r="G281" i="7"/>
  <c r="E281" i="7"/>
  <c r="I280" i="7"/>
  <c r="H280" i="7"/>
  <c r="G280" i="7"/>
  <c r="E280" i="7"/>
  <c r="I279" i="7"/>
  <c r="H279" i="7"/>
  <c r="G279" i="7"/>
  <c r="E279" i="7"/>
  <c r="I278" i="7"/>
  <c r="H278" i="7"/>
  <c r="G278" i="7"/>
  <c r="E278" i="7"/>
  <c r="I277" i="7"/>
  <c r="H277" i="7"/>
  <c r="G277" i="7"/>
  <c r="E277" i="7"/>
  <c r="I276" i="7"/>
  <c r="H276" i="7"/>
  <c r="G276" i="7"/>
  <c r="E276" i="7"/>
  <c r="I275" i="7"/>
  <c r="H275" i="7"/>
  <c r="G275" i="7"/>
  <c r="E275" i="7"/>
  <c r="I274" i="7"/>
  <c r="H274" i="7"/>
  <c r="G274" i="7"/>
  <c r="E274" i="7"/>
  <c r="I273" i="7"/>
  <c r="H273" i="7"/>
  <c r="G273" i="7"/>
  <c r="E273" i="7"/>
  <c r="I272" i="7"/>
  <c r="H272" i="7"/>
  <c r="G272" i="7"/>
  <c r="E272" i="7"/>
  <c r="I271" i="7"/>
  <c r="H271" i="7"/>
  <c r="G271" i="7"/>
  <c r="E271" i="7"/>
  <c r="I270" i="7"/>
  <c r="H270" i="7"/>
  <c r="G270" i="7"/>
  <c r="E270" i="7"/>
  <c r="I269" i="7"/>
  <c r="H269" i="7"/>
  <c r="G269" i="7"/>
  <c r="E269" i="7"/>
  <c r="I268" i="7"/>
  <c r="H268" i="7"/>
  <c r="G268" i="7"/>
  <c r="E268" i="7"/>
  <c r="I267" i="7"/>
  <c r="H267" i="7"/>
  <c r="G267" i="7"/>
  <c r="E267" i="7"/>
  <c r="I266" i="7"/>
  <c r="H266" i="7"/>
  <c r="G266" i="7"/>
  <c r="E266" i="7"/>
  <c r="I265" i="7"/>
  <c r="H265" i="7"/>
  <c r="G265" i="7"/>
  <c r="E265" i="7"/>
  <c r="I264" i="7"/>
  <c r="H264" i="7"/>
  <c r="G264" i="7"/>
  <c r="E264" i="7"/>
  <c r="I263" i="7"/>
  <c r="H263" i="7"/>
  <c r="G263" i="7"/>
  <c r="E263" i="7"/>
  <c r="I262" i="7"/>
  <c r="H262" i="7"/>
  <c r="G262" i="7"/>
  <c r="E262" i="7"/>
  <c r="I261" i="7"/>
  <c r="H261" i="7"/>
  <c r="G261" i="7"/>
  <c r="E261" i="7"/>
  <c r="I260" i="7"/>
  <c r="H260" i="7"/>
  <c r="G260" i="7"/>
  <c r="E260" i="7"/>
  <c r="I259" i="7"/>
  <c r="H259" i="7"/>
  <c r="G259" i="7"/>
  <c r="E259" i="7"/>
  <c r="I258" i="7"/>
  <c r="H258" i="7"/>
  <c r="G258" i="7"/>
  <c r="E258" i="7"/>
  <c r="I257" i="7"/>
  <c r="H257" i="7"/>
  <c r="G257" i="7"/>
  <c r="E257" i="7"/>
  <c r="I256" i="7"/>
  <c r="H256" i="7"/>
  <c r="G256" i="7"/>
  <c r="E256" i="7"/>
  <c r="I255" i="7"/>
  <c r="H255" i="7"/>
  <c r="G255" i="7"/>
  <c r="E255" i="7"/>
  <c r="I254" i="7"/>
  <c r="H254" i="7"/>
  <c r="G254" i="7"/>
  <c r="E254" i="7"/>
  <c r="I253" i="7"/>
  <c r="H253" i="7"/>
  <c r="G253" i="7"/>
  <c r="E253" i="7"/>
  <c r="I252" i="7"/>
  <c r="H252" i="7"/>
  <c r="G252" i="7"/>
  <c r="E252" i="7"/>
  <c r="I251" i="7"/>
  <c r="H251" i="7"/>
  <c r="G251" i="7"/>
  <c r="E251" i="7"/>
  <c r="I250" i="7"/>
  <c r="H250" i="7"/>
  <c r="G250" i="7"/>
  <c r="E250" i="7"/>
  <c r="I249" i="7"/>
  <c r="H249" i="7"/>
  <c r="G249" i="7"/>
  <c r="E249" i="7"/>
  <c r="I248" i="7"/>
  <c r="H248" i="7"/>
  <c r="G248" i="7"/>
  <c r="E248" i="7"/>
  <c r="I247" i="7"/>
  <c r="H247" i="7"/>
  <c r="G247" i="7"/>
  <c r="E247" i="7"/>
  <c r="I246" i="7"/>
  <c r="H246" i="7"/>
  <c r="G246" i="7"/>
  <c r="E246" i="7"/>
  <c r="I245" i="7"/>
  <c r="H245" i="7"/>
  <c r="G245" i="7"/>
  <c r="E245" i="7"/>
  <c r="I244" i="7"/>
  <c r="H244" i="7"/>
  <c r="G244" i="7"/>
  <c r="E244" i="7"/>
  <c r="I243" i="7"/>
  <c r="H243" i="7"/>
  <c r="G243" i="7"/>
  <c r="E243" i="7"/>
  <c r="I242" i="7"/>
  <c r="H242" i="7"/>
  <c r="G242" i="7"/>
  <c r="E242" i="7"/>
  <c r="I241" i="7"/>
  <c r="H241" i="7"/>
  <c r="G241" i="7"/>
  <c r="E241" i="7"/>
  <c r="I240" i="7"/>
  <c r="H240" i="7"/>
  <c r="G240" i="7"/>
  <c r="E240" i="7"/>
  <c r="I239" i="7"/>
  <c r="H239" i="7"/>
  <c r="G239" i="7"/>
  <c r="E239" i="7"/>
  <c r="I238" i="7"/>
  <c r="H238" i="7"/>
  <c r="G238" i="7"/>
  <c r="E238" i="7"/>
  <c r="I237" i="7"/>
  <c r="H237" i="7"/>
  <c r="G237" i="7"/>
  <c r="E237" i="7"/>
  <c r="I236" i="7"/>
  <c r="H236" i="7"/>
  <c r="G236" i="7"/>
  <c r="E236" i="7"/>
  <c r="I235" i="7"/>
  <c r="H235" i="7"/>
  <c r="G235" i="7"/>
  <c r="E235" i="7"/>
  <c r="I234" i="7"/>
  <c r="H234" i="7"/>
  <c r="G234" i="7"/>
  <c r="E234" i="7"/>
  <c r="I233" i="7"/>
  <c r="H233" i="7"/>
  <c r="G233" i="7"/>
  <c r="E233" i="7"/>
  <c r="I232" i="7"/>
  <c r="H232" i="7"/>
  <c r="G232" i="7"/>
  <c r="E232" i="7"/>
  <c r="I231" i="7"/>
  <c r="H231" i="7"/>
  <c r="G231" i="7"/>
  <c r="E231" i="7"/>
  <c r="I230" i="7"/>
  <c r="H230" i="7"/>
  <c r="G230" i="7"/>
  <c r="E230" i="7"/>
  <c r="I229" i="7"/>
  <c r="H229" i="7"/>
  <c r="G229" i="7"/>
  <c r="E229" i="7"/>
  <c r="I228" i="7"/>
  <c r="H228" i="7"/>
  <c r="G228" i="7"/>
  <c r="E228" i="7"/>
  <c r="I227" i="7"/>
  <c r="H227" i="7"/>
  <c r="G227" i="7"/>
  <c r="E227" i="7"/>
  <c r="I226" i="7"/>
  <c r="H226" i="7"/>
  <c r="G226" i="7"/>
  <c r="E226" i="7"/>
  <c r="I225" i="7"/>
  <c r="H225" i="7"/>
  <c r="G225" i="7"/>
  <c r="E225" i="7"/>
  <c r="I224" i="7"/>
  <c r="H224" i="7"/>
  <c r="G224" i="7"/>
  <c r="E224" i="7"/>
  <c r="I223" i="7"/>
  <c r="H223" i="7"/>
  <c r="G223" i="7"/>
  <c r="E223" i="7"/>
  <c r="I222" i="7"/>
  <c r="H222" i="7"/>
  <c r="G222" i="7"/>
  <c r="E222" i="7"/>
  <c r="I221" i="7"/>
  <c r="H221" i="7"/>
  <c r="G221" i="7"/>
  <c r="E221" i="7"/>
  <c r="I220" i="7"/>
  <c r="H220" i="7"/>
  <c r="G220" i="7"/>
  <c r="E220" i="7"/>
  <c r="I219" i="7"/>
  <c r="H219" i="7"/>
  <c r="G219" i="7"/>
  <c r="E219" i="7"/>
  <c r="I218" i="7"/>
  <c r="H218" i="7"/>
  <c r="G218" i="7"/>
  <c r="E218" i="7"/>
  <c r="I217" i="7"/>
  <c r="H217" i="7"/>
  <c r="G217" i="7"/>
  <c r="E217" i="7"/>
  <c r="I216" i="7"/>
  <c r="H216" i="7"/>
  <c r="G216" i="7"/>
  <c r="E216" i="7"/>
  <c r="I215" i="7"/>
  <c r="H215" i="7"/>
  <c r="G215" i="7"/>
  <c r="E215" i="7"/>
  <c r="I214" i="7"/>
  <c r="H214" i="7"/>
  <c r="G214" i="7"/>
  <c r="E214" i="7"/>
  <c r="I213" i="7"/>
  <c r="H213" i="7"/>
  <c r="G213" i="7"/>
  <c r="E213" i="7"/>
  <c r="I212" i="7"/>
  <c r="H212" i="7"/>
  <c r="G212" i="7"/>
  <c r="E212" i="7"/>
  <c r="I211" i="7"/>
  <c r="H211" i="7"/>
  <c r="G211" i="7"/>
  <c r="E211" i="7"/>
  <c r="I210" i="7"/>
  <c r="H210" i="7"/>
  <c r="G210" i="7"/>
  <c r="E210" i="7"/>
  <c r="I209" i="7"/>
  <c r="H209" i="7"/>
  <c r="G209" i="7"/>
  <c r="E209" i="7"/>
  <c r="I208" i="7"/>
  <c r="H208" i="7"/>
  <c r="G208" i="7"/>
  <c r="E208" i="7"/>
  <c r="I207" i="7"/>
  <c r="H207" i="7"/>
  <c r="G207" i="7"/>
  <c r="E207" i="7"/>
  <c r="I206" i="7"/>
  <c r="H206" i="7"/>
  <c r="G206" i="7"/>
  <c r="E206" i="7"/>
  <c r="I205" i="7"/>
  <c r="H205" i="7"/>
  <c r="G205" i="7"/>
  <c r="E205" i="7"/>
  <c r="I204" i="7"/>
  <c r="H204" i="7"/>
  <c r="G204" i="7"/>
  <c r="E204" i="7"/>
  <c r="I203" i="7"/>
  <c r="H203" i="7"/>
  <c r="G203" i="7"/>
  <c r="E203" i="7"/>
  <c r="I202" i="7"/>
  <c r="H202" i="7"/>
  <c r="G202" i="7"/>
  <c r="E202" i="7"/>
  <c r="I201" i="7"/>
  <c r="H201" i="7"/>
  <c r="G201" i="7"/>
  <c r="E201" i="7"/>
  <c r="I200" i="7"/>
  <c r="H200" i="7"/>
  <c r="G200" i="7"/>
  <c r="E200" i="7"/>
  <c r="I199" i="7"/>
  <c r="H199" i="7"/>
  <c r="G199" i="7"/>
  <c r="E199" i="7"/>
  <c r="I198" i="7"/>
  <c r="H198" i="7"/>
  <c r="G198" i="7"/>
  <c r="E198" i="7"/>
  <c r="I197" i="7"/>
  <c r="H197" i="7"/>
  <c r="G197" i="7"/>
  <c r="E197" i="7"/>
  <c r="I196" i="7"/>
  <c r="H196" i="7"/>
  <c r="G196" i="7"/>
  <c r="E196" i="7"/>
  <c r="I195" i="7"/>
  <c r="H195" i="7"/>
  <c r="G195" i="7"/>
  <c r="E195" i="7"/>
  <c r="I194" i="7"/>
  <c r="H194" i="7"/>
  <c r="G194" i="7"/>
  <c r="E194" i="7"/>
  <c r="I193" i="7"/>
  <c r="H193" i="7"/>
  <c r="G193" i="7"/>
  <c r="E193" i="7"/>
  <c r="I192" i="7"/>
  <c r="H192" i="7"/>
  <c r="G192" i="7"/>
  <c r="E192" i="7"/>
  <c r="I191" i="7"/>
  <c r="H191" i="7"/>
  <c r="G191" i="7"/>
  <c r="E191" i="7"/>
  <c r="I190" i="7"/>
  <c r="H190" i="7"/>
  <c r="G190" i="7"/>
  <c r="E190" i="7"/>
  <c r="I189" i="7"/>
  <c r="H189" i="7"/>
  <c r="G189" i="7"/>
  <c r="E189" i="7"/>
  <c r="I188" i="7"/>
  <c r="H188" i="7"/>
  <c r="G188" i="7"/>
  <c r="E188" i="7"/>
  <c r="I187" i="7"/>
  <c r="H187" i="7"/>
  <c r="G187" i="7"/>
  <c r="E187" i="7"/>
  <c r="I186" i="7"/>
  <c r="H186" i="7"/>
  <c r="G186" i="7"/>
  <c r="E186" i="7"/>
  <c r="I185" i="7"/>
  <c r="H185" i="7"/>
  <c r="G185" i="7"/>
  <c r="E185" i="7"/>
  <c r="I184" i="7"/>
  <c r="H184" i="7"/>
  <c r="G184" i="7"/>
  <c r="E184" i="7"/>
  <c r="I183" i="7"/>
  <c r="H183" i="7"/>
  <c r="G183" i="7"/>
  <c r="E183" i="7"/>
  <c r="I182" i="7"/>
  <c r="H182" i="7"/>
  <c r="G182" i="7"/>
  <c r="E182" i="7"/>
  <c r="I181" i="7"/>
  <c r="H181" i="7"/>
  <c r="G181" i="7"/>
  <c r="E181" i="7"/>
  <c r="I180" i="7"/>
  <c r="H180" i="7"/>
  <c r="G180" i="7"/>
  <c r="E180" i="7"/>
  <c r="I179" i="7"/>
  <c r="H179" i="7"/>
  <c r="G179" i="7"/>
  <c r="E179" i="7"/>
  <c r="I178" i="7"/>
  <c r="H178" i="7"/>
  <c r="G178" i="7"/>
  <c r="E178" i="7"/>
  <c r="I177" i="7"/>
  <c r="H177" i="7"/>
  <c r="G177" i="7"/>
  <c r="E177" i="7"/>
  <c r="I176" i="7"/>
  <c r="H176" i="7"/>
  <c r="G176" i="7"/>
  <c r="E176" i="7"/>
  <c r="I175" i="7"/>
  <c r="H175" i="7"/>
  <c r="G175" i="7"/>
  <c r="E175" i="7"/>
  <c r="I174" i="7"/>
  <c r="H174" i="7"/>
  <c r="G174" i="7"/>
  <c r="E174" i="7"/>
  <c r="I173" i="7"/>
  <c r="H173" i="7"/>
  <c r="G173" i="7"/>
  <c r="E173" i="7"/>
  <c r="I172" i="7"/>
  <c r="H172" i="7"/>
  <c r="G172" i="7"/>
  <c r="E172" i="7"/>
  <c r="I171" i="7"/>
  <c r="H171" i="7"/>
  <c r="G171" i="7"/>
  <c r="E171" i="7"/>
  <c r="I170" i="7"/>
  <c r="H170" i="7"/>
  <c r="G170" i="7"/>
  <c r="E170" i="7"/>
  <c r="I169" i="7"/>
  <c r="H169" i="7"/>
  <c r="G169" i="7"/>
  <c r="E169" i="7"/>
  <c r="I168" i="7"/>
  <c r="H168" i="7"/>
  <c r="G168" i="7"/>
  <c r="E168" i="7"/>
  <c r="I167" i="7"/>
  <c r="H167" i="7"/>
  <c r="G167" i="7"/>
  <c r="E167" i="7"/>
  <c r="I166" i="7"/>
  <c r="H166" i="7"/>
  <c r="G166" i="7"/>
  <c r="E166" i="7"/>
  <c r="I165" i="7"/>
  <c r="H165" i="7"/>
  <c r="G165" i="7"/>
  <c r="E165" i="7"/>
  <c r="I164" i="7"/>
  <c r="H164" i="7"/>
  <c r="G164" i="7"/>
  <c r="E164" i="7"/>
  <c r="I163" i="7"/>
  <c r="H163" i="7"/>
  <c r="G163" i="7"/>
  <c r="E163" i="7"/>
  <c r="I162" i="7"/>
  <c r="H162" i="7"/>
  <c r="G162" i="7"/>
  <c r="E162" i="7"/>
  <c r="I161" i="7"/>
  <c r="H161" i="7"/>
  <c r="G161" i="7"/>
  <c r="E161" i="7"/>
  <c r="I160" i="7"/>
  <c r="H160" i="7"/>
  <c r="G160" i="7"/>
  <c r="E160" i="7"/>
  <c r="I159" i="7"/>
  <c r="H159" i="7"/>
  <c r="G159" i="7"/>
  <c r="E159" i="7"/>
  <c r="I158" i="7"/>
  <c r="H158" i="7"/>
  <c r="G158" i="7"/>
  <c r="E158" i="7"/>
  <c r="I157" i="7"/>
  <c r="H157" i="7"/>
  <c r="G157" i="7"/>
  <c r="E157" i="7"/>
  <c r="I156" i="7"/>
  <c r="H156" i="7"/>
  <c r="G156" i="7"/>
  <c r="E156" i="7"/>
  <c r="I155" i="7"/>
  <c r="H155" i="7"/>
  <c r="G155" i="7"/>
  <c r="E155" i="7"/>
  <c r="I154" i="7"/>
  <c r="H154" i="7"/>
  <c r="G154" i="7"/>
  <c r="E154" i="7"/>
  <c r="I153" i="7"/>
  <c r="H153" i="7"/>
  <c r="G153" i="7"/>
  <c r="E153" i="7"/>
  <c r="I152" i="7"/>
  <c r="H152" i="7"/>
  <c r="G152" i="7"/>
  <c r="E152" i="7"/>
  <c r="I151" i="7"/>
  <c r="H151" i="7"/>
  <c r="G151" i="7"/>
  <c r="E151" i="7"/>
  <c r="I150" i="7"/>
  <c r="H150" i="7"/>
  <c r="G150" i="7"/>
  <c r="E150" i="7"/>
  <c r="I149" i="7"/>
  <c r="H149" i="7"/>
  <c r="G149" i="7"/>
  <c r="E149" i="7"/>
  <c r="I148" i="7"/>
  <c r="H148" i="7"/>
  <c r="G148" i="7"/>
  <c r="E148" i="7"/>
  <c r="I147" i="7"/>
  <c r="H147" i="7"/>
  <c r="G147" i="7"/>
  <c r="E147" i="7"/>
  <c r="I146" i="7"/>
  <c r="H146" i="7"/>
  <c r="G146" i="7"/>
  <c r="E146" i="7"/>
  <c r="I145" i="7"/>
  <c r="H145" i="7"/>
  <c r="G145" i="7"/>
  <c r="E145" i="7"/>
  <c r="I144" i="7"/>
  <c r="H144" i="7"/>
  <c r="G144" i="7"/>
  <c r="E144" i="7"/>
  <c r="I143" i="7"/>
  <c r="H143" i="7"/>
  <c r="G143" i="7"/>
  <c r="E143" i="7"/>
  <c r="I142" i="7"/>
  <c r="H142" i="7"/>
  <c r="G142" i="7"/>
  <c r="E142" i="7"/>
  <c r="I141" i="7"/>
  <c r="H141" i="7"/>
  <c r="G141" i="7"/>
  <c r="E141" i="7"/>
  <c r="I140" i="7"/>
  <c r="H140" i="7"/>
  <c r="G140" i="7"/>
  <c r="E140" i="7"/>
  <c r="I139" i="7"/>
  <c r="H139" i="7"/>
  <c r="G139" i="7"/>
  <c r="E139" i="7"/>
  <c r="I138" i="7"/>
  <c r="H138" i="7"/>
  <c r="G138" i="7"/>
  <c r="E138" i="7"/>
  <c r="I137" i="7"/>
  <c r="H137" i="7"/>
  <c r="G137" i="7"/>
  <c r="E137" i="7"/>
  <c r="I136" i="7"/>
  <c r="H136" i="7"/>
  <c r="G136" i="7"/>
  <c r="E136" i="7"/>
  <c r="I135" i="7"/>
  <c r="H135" i="7"/>
  <c r="G135" i="7"/>
  <c r="E135" i="7"/>
  <c r="I134" i="7"/>
  <c r="H134" i="7"/>
  <c r="G134" i="7"/>
  <c r="E134" i="7"/>
  <c r="I133" i="7"/>
  <c r="H133" i="7"/>
  <c r="G133" i="7"/>
  <c r="E133" i="7"/>
  <c r="I132" i="7"/>
  <c r="H132" i="7"/>
  <c r="G132" i="7"/>
  <c r="E132" i="7"/>
  <c r="I131" i="7"/>
  <c r="H131" i="7"/>
  <c r="G131" i="7"/>
  <c r="E131" i="7"/>
  <c r="I130" i="7"/>
  <c r="H130" i="7"/>
  <c r="G130" i="7"/>
  <c r="E130" i="7"/>
  <c r="I129" i="7"/>
  <c r="H129" i="7"/>
  <c r="G129" i="7"/>
  <c r="E129" i="7"/>
  <c r="I128" i="7"/>
  <c r="H128" i="7"/>
  <c r="G128" i="7"/>
  <c r="E128" i="7"/>
  <c r="I127" i="7"/>
  <c r="H127" i="7"/>
  <c r="G127" i="7"/>
  <c r="E127" i="7"/>
  <c r="I126" i="7"/>
  <c r="H126" i="7"/>
  <c r="G126" i="7"/>
  <c r="E126" i="7"/>
  <c r="I125" i="7"/>
  <c r="H125" i="7"/>
  <c r="G125" i="7"/>
  <c r="E125" i="7"/>
  <c r="I124" i="7"/>
  <c r="H124" i="7"/>
  <c r="G124" i="7"/>
  <c r="E124" i="7"/>
  <c r="I123" i="7"/>
  <c r="H123" i="7"/>
  <c r="G123" i="7"/>
  <c r="E123" i="7"/>
  <c r="I122" i="7"/>
  <c r="H122" i="7"/>
  <c r="G122" i="7"/>
  <c r="E122" i="7"/>
  <c r="I121" i="7"/>
  <c r="H121" i="7"/>
  <c r="G121" i="7"/>
  <c r="E121" i="7"/>
  <c r="I120" i="7"/>
  <c r="H120" i="7"/>
  <c r="G120" i="7"/>
  <c r="E120" i="7"/>
  <c r="I119" i="7"/>
  <c r="H119" i="7"/>
  <c r="G119" i="7"/>
  <c r="E119" i="7"/>
  <c r="I118" i="7"/>
  <c r="H118" i="7"/>
  <c r="G118" i="7"/>
  <c r="E118" i="7"/>
  <c r="I117" i="7"/>
  <c r="H117" i="7"/>
  <c r="G117" i="7"/>
  <c r="E117" i="7"/>
  <c r="I116" i="7"/>
  <c r="H116" i="7"/>
  <c r="G116" i="7"/>
  <c r="E116" i="7"/>
  <c r="I115" i="7"/>
  <c r="H115" i="7"/>
  <c r="G115" i="7"/>
  <c r="E115" i="7"/>
  <c r="I114" i="7"/>
  <c r="H114" i="7"/>
  <c r="G114" i="7"/>
  <c r="E114" i="7"/>
  <c r="I113" i="7"/>
  <c r="H113" i="7"/>
  <c r="G113" i="7"/>
  <c r="E113" i="7"/>
  <c r="I112" i="7"/>
  <c r="H112" i="7"/>
  <c r="G112" i="7"/>
  <c r="E112" i="7"/>
  <c r="I111" i="7"/>
  <c r="H111" i="7"/>
  <c r="G111" i="7"/>
  <c r="E111" i="7"/>
  <c r="I110" i="7"/>
  <c r="H110" i="7"/>
  <c r="G110" i="7"/>
  <c r="E110" i="7"/>
  <c r="I109" i="7"/>
  <c r="H109" i="7"/>
  <c r="G109" i="7"/>
  <c r="E109" i="7"/>
  <c r="I108" i="7"/>
  <c r="H108" i="7"/>
  <c r="G108" i="7"/>
  <c r="E108" i="7"/>
  <c r="I107" i="7"/>
  <c r="H107" i="7"/>
  <c r="G107" i="7"/>
  <c r="E107" i="7"/>
  <c r="I106" i="7"/>
  <c r="H106" i="7"/>
  <c r="G106" i="7"/>
  <c r="E106" i="7"/>
  <c r="I105" i="7"/>
  <c r="H105" i="7"/>
  <c r="G105" i="7"/>
  <c r="E105" i="7"/>
  <c r="I104" i="7"/>
  <c r="H104" i="7"/>
  <c r="G104" i="7"/>
  <c r="E104" i="7"/>
  <c r="I103" i="7"/>
  <c r="H103" i="7"/>
  <c r="G103" i="7"/>
  <c r="E103" i="7"/>
  <c r="I102" i="7"/>
  <c r="H102" i="7"/>
  <c r="G102" i="7"/>
  <c r="E102" i="7"/>
  <c r="I101" i="7"/>
  <c r="H101" i="7"/>
  <c r="G101" i="7"/>
  <c r="E101" i="7"/>
  <c r="I100" i="7"/>
  <c r="H100" i="7"/>
  <c r="G100" i="7"/>
  <c r="E100" i="7"/>
  <c r="I99" i="7"/>
  <c r="H99" i="7"/>
  <c r="G99" i="7"/>
  <c r="E99" i="7"/>
  <c r="I98" i="7"/>
  <c r="H98" i="7"/>
  <c r="G98" i="7"/>
  <c r="E98" i="7"/>
  <c r="I97" i="7"/>
  <c r="H97" i="7"/>
  <c r="G97" i="7"/>
  <c r="E97" i="7"/>
  <c r="I96" i="7"/>
  <c r="H96" i="7"/>
  <c r="G96" i="7"/>
  <c r="E96" i="7"/>
  <c r="I95" i="7"/>
  <c r="H95" i="7"/>
  <c r="G95" i="7"/>
  <c r="E95" i="7"/>
  <c r="I94" i="7"/>
  <c r="H94" i="7"/>
  <c r="G94" i="7"/>
  <c r="E94" i="7"/>
  <c r="I93" i="7"/>
  <c r="H93" i="7"/>
  <c r="G93" i="7"/>
  <c r="E93" i="7"/>
  <c r="I92" i="7"/>
  <c r="H92" i="7"/>
  <c r="G92" i="7"/>
  <c r="E92" i="7"/>
  <c r="I91" i="7"/>
  <c r="H91" i="7"/>
  <c r="G91" i="7"/>
  <c r="E91" i="7"/>
  <c r="I90" i="7"/>
  <c r="H90" i="7"/>
  <c r="G90" i="7"/>
  <c r="E90" i="7"/>
  <c r="I89" i="7"/>
  <c r="H89" i="7"/>
  <c r="G89" i="7"/>
  <c r="E89" i="7"/>
  <c r="I88" i="7"/>
  <c r="H88" i="7"/>
  <c r="G88" i="7"/>
  <c r="E88" i="7"/>
  <c r="I87" i="7"/>
  <c r="H87" i="7"/>
  <c r="G87" i="7"/>
  <c r="E87" i="7"/>
  <c r="I86" i="7"/>
  <c r="H86" i="7"/>
  <c r="G86" i="7"/>
  <c r="E86" i="7"/>
  <c r="I85" i="7"/>
  <c r="H85" i="7"/>
  <c r="G85" i="7"/>
  <c r="E85" i="7"/>
  <c r="I84" i="7"/>
  <c r="H84" i="7"/>
  <c r="G84" i="7"/>
  <c r="E84" i="7"/>
  <c r="I83" i="7"/>
  <c r="H83" i="7"/>
  <c r="G83" i="7"/>
  <c r="E83" i="7"/>
  <c r="I82" i="7"/>
  <c r="H82" i="7"/>
  <c r="G82" i="7"/>
  <c r="E82" i="7"/>
  <c r="I81" i="7"/>
  <c r="H81" i="7"/>
  <c r="G81" i="7"/>
  <c r="E81" i="7"/>
  <c r="I80" i="7"/>
  <c r="H80" i="7"/>
  <c r="G80" i="7"/>
  <c r="E80" i="7"/>
  <c r="I79" i="7"/>
  <c r="H79" i="7"/>
  <c r="G79" i="7"/>
  <c r="E79" i="7"/>
  <c r="I78" i="7"/>
  <c r="H78" i="7"/>
  <c r="G78" i="7"/>
  <c r="E78" i="7"/>
  <c r="I77" i="7"/>
  <c r="H77" i="7"/>
  <c r="G77" i="7"/>
  <c r="E77" i="7"/>
  <c r="I76" i="7"/>
  <c r="H76" i="7"/>
  <c r="G76" i="7"/>
  <c r="E76" i="7"/>
  <c r="I75" i="7"/>
  <c r="H75" i="7"/>
  <c r="G75" i="7"/>
  <c r="E75" i="7"/>
  <c r="I74" i="7"/>
  <c r="H74" i="7"/>
  <c r="G74" i="7"/>
  <c r="E74" i="7"/>
  <c r="I73" i="7"/>
  <c r="H73" i="7"/>
  <c r="G73" i="7"/>
  <c r="E73" i="7"/>
  <c r="I72" i="7"/>
  <c r="H72" i="7"/>
  <c r="G72" i="7"/>
  <c r="E72" i="7"/>
  <c r="I71" i="7"/>
  <c r="H71" i="7"/>
  <c r="G71" i="7"/>
  <c r="E71" i="7"/>
  <c r="I70" i="7"/>
  <c r="H70" i="7"/>
  <c r="G70" i="7"/>
  <c r="E70" i="7"/>
  <c r="I69" i="7"/>
  <c r="H69" i="7"/>
  <c r="G69" i="7"/>
  <c r="E69" i="7"/>
  <c r="I68" i="7"/>
  <c r="H68" i="7"/>
  <c r="G68" i="7"/>
  <c r="E68" i="7"/>
  <c r="I67" i="7"/>
  <c r="H67" i="7"/>
  <c r="G67" i="7"/>
  <c r="E67" i="7"/>
  <c r="I66" i="7"/>
  <c r="H66" i="7"/>
  <c r="G66" i="7"/>
  <c r="E66" i="7"/>
  <c r="I65" i="7"/>
  <c r="H65" i="7"/>
  <c r="G65" i="7"/>
  <c r="E65" i="7"/>
  <c r="I64" i="7"/>
  <c r="H64" i="7"/>
  <c r="G64" i="7"/>
  <c r="E64" i="7"/>
  <c r="I63" i="7"/>
  <c r="H63" i="7"/>
  <c r="G63" i="7"/>
  <c r="E63" i="7"/>
  <c r="I62" i="7"/>
  <c r="H62" i="7"/>
  <c r="G62" i="7"/>
  <c r="E62" i="7"/>
  <c r="I61" i="7"/>
  <c r="H61" i="7"/>
  <c r="G61" i="7"/>
  <c r="E61" i="7"/>
  <c r="I60" i="7"/>
  <c r="H60" i="7"/>
  <c r="G60" i="7"/>
  <c r="E60" i="7"/>
  <c r="I59" i="7"/>
  <c r="H59" i="7"/>
  <c r="G59" i="7"/>
  <c r="E59" i="7"/>
  <c r="I58" i="7"/>
  <c r="H58" i="7"/>
  <c r="G58" i="7"/>
  <c r="E58" i="7"/>
  <c r="I57" i="7"/>
  <c r="H57" i="7"/>
  <c r="G57" i="7"/>
  <c r="E57" i="7"/>
  <c r="I56" i="7"/>
  <c r="H56" i="7"/>
  <c r="G56" i="7"/>
  <c r="E56" i="7"/>
  <c r="I55" i="7"/>
  <c r="H55" i="7"/>
  <c r="G55" i="7"/>
  <c r="E55" i="7"/>
  <c r="I54" i="7"/>
  <c r="H54" i="7"/>
  <c r="G54" i="7"/>
  <c r="E54" i="7"/>
  <c r="I53" i="7"/>
  <c r="H53" i="7"/>
  <c r="G53" i="7"/>
  <c r="E53" i="7"/>
  <c r="I52" i="7"/>
  <c r="H52" i="7"/>
  <c r="G52" i="7"/>
  <c r="E52" i="7"/>
  <c r="I51" i="7"/>
  <c r="H51" i="7"/>
  <c r="G51" i="7"/>
  <c r="E51" i="7"/>
  <c r="I50" i="7"/>
  <c r="H50" i="7"/>
  <c r="G50" i="7"/>
  <c r="E50" i="7"/>
  <c r="I49" i="7"/>
  <c r="H49" i="7"/>
  <c r="G49" i="7"/>
  <c r="E49" i="7"/>
  <c r="I48" i="7"/>
  <c r="H48" i="7"/>
  <c r="G48" i="7"/>
  <c r="E48" i="7"/>
  <c r="I47" i="7"/>
  <c r="H47" i="7"/>
  <c r="G47" i="7"/>
  <c r="E47" i="7"/>
  <c r="I46" i="7"/>
  <c r="H46" i="7"/>
  <c r="G46" i="7"/>
  <c r="E46" i="7"/>
  <c r="I45" i="7"/>
  <c r="H45" i="7"/>
  <c r="G45" i="7"/>
  <c r="E45" i="7"/>
  <c r="I44" i="7"/>
  <c r="H44" i="7"/>
  <c r="G44" i="7"/>
  <c r="E44" i="7"/>
  <c r="I43" i="7"/>
  <c r="H43" i="7"/>
  <c r="G43" i="7"/>
  <c r="E43" i="7"/>
  <c r="I42" i="7"/>
  <c r="H42" i="7"/>
  <c r="G42" i="7"/>
  <c r="E42" i="7"/>
  <c r="I41" i="7"/>
  <c r="H41" i="7"/>
  <c r="G41" i="7"/>
  <c r="E41" i="7"/>
  <c r="I40" i="7"/>
  <c r="H40" i="7"/>
  <c r="G40" i="7"/>
  <c r="E40" i="7"/>
  <c r="I39" i="7"/>
  <c r="H39" i="7"/>
  <c r="G39" i="7"/>
  <c r="E39" i="7"/>
  <c r="I38" i="7"/>
  <c r="H38" i="7"/>
  <c r="G38" i="7"/>
  <c r="E38" i="7"/>
  <c r="I37" i="7"/>
  <c r="H37" i="7"/>
  <c r="G37" i="7"/>
  <c r="E37" i="7"/>
  <c r="I36" i="7"/>
  <c r="H36" i="7"/>
  <c r="G36" i="7"/>
  <c r="E36" i="7"/>
  <c r="I35" i="7"/>
  <c r="H35" i="7"/>
  <c r="G35" i="7"/>
  <c r="E35" i="7"/>
  <c r="I34" i="7"/>
  <c r="H34" i="7"/>
  <c r="G34" i="7"/>
  <c r="E34" i="7"/>
  <c r="I33" i="7"/>
  <c r="H33" i="7"/>
  <c r="G33" i="7"/>
  <c r="E33" i="7"/>
  <c r="I32" i="7"/>
  <c r="H32" i="7"/>
  <c r="G32" i="7"/>
  <c r="E32" i="7"/>
  <c r="I31" i="7"/>
  <c r="H31" i="7"/>
  <c r="G31" i="7"/>
  <c r="E31" i="7"/>
  <c r="I30" i="7"/>
  <c r="H30" i="7"/>
  <c r="G30" i="7"/>
  <c r="E30" i="7"/>
  <c r="I29" i="7"/>
  <c r="H29" i="7"/>
  <c r="G29" i="7"/>
  <c r="E29" i="7"/>
  <c r="I28" i="7"/>
  <c r="H28" i="7"/>
  <c r="G28" i="7"/>
  <c r="E28" i="7"/>
  <c r="I27" i="7"/>
  <c r="H27" i="7"/>
  <c r="G27" i="7"/>
  <c r="E27" i="7"/>
  <c r="I26" i="7"/>
  <c r="H26" i="7"/>
  <c r="G26" i="7"/>
  <c r="E26" i="7"/>
  <c r="I25" i="7"/>
  <c r="H25" i="7"/>
  <c r="G25" i="7"/>
  <c r="E25" i="7"/>
  <c r="I24" i="7"/>
  <c r="H24" i="7"/>
  <c r="G24" i="7"/>
  <c r="E24" i="7"/>
  <c r="I23" i="7"/>
  <c r="H23" i="7"/>
  <c r="G23" i="7"/>
  <c r="E23" i="7"/>
  <c r="I22" i="7"/>
  <c r="H22" i="7"/>
  <c r="G22" i="7"/>
  <c r="E22" i="7"/>
  <c r="I21" i="7"/>
  <c r="H21" i="7"/>
  <c r="G21" i="7"/>
  <c r="E21" i="7"/>
  <c r="I20" i="7"/>
  <c r="H20" i="7"/>
  <c r="G20" i="7"/>
  <c r="E20" i="7"/>
  <c r="I19" i="7"/>
  <c r="H19" i="7"/>
  <c r="G19" i="7"/>
  <c r="E19" i="7"/>
  <c r="I18" i="7"/>
  <c r="H18" i="7"/>
  <c r="G18" i="7"/>
  <c r="E18" i="7"/>
  <c r="I17" i="7"/>
  <c r="H17" i="7"/>
  <c r="G17" i="7"/>
  <c r="E17" i="7"/>
  <c r="I16" i="7"/>
  <c r="H16" i="7"/>
  <c r="G16" i="7"/>
  <c r="E16" i="7"/>
  <c r="I15" i="7"/>
  <c r="H15" i="7"/>
  <c r="G15" i="7"/>
  <c r="E15" i="7"/>
  <c r="I14" i="7"/>
  <c r="H14" i="7"/>
  <c r="G14" i="7"/>
  <c r="E14" i="7"/>
  <c r="I13" i="7"/>
  <c r="H13" i="7"/>
  <c r="G13" i="7"/>
  <c r="E13" i="7"/>
  <c r="I12" i="7"/>
  <c r="H12" i="7"/>
  <c r="G12" i="7"/>
  <c r="E12" i="7"/>
  <c r="I11" i="7"/>
  <c r="H11" i="7"/>
  <c r="G11" i="7"/>
  <c r="E11" i="7"/>
  <c r="I10" i="7"/>
  <c r="H10" i="7"/>
  <c r="G10" i="7"/>
  <c r="E10" i="7"/>
  <c r="I9" i="7"/>
  <c r="H9" i="7"/>
  <c r="G9" i="7"/>
  <c r="E9" i="7"/>
  <c r="I8" i="7"/>
  <c r="H8" i="7"/>
  <c r="G8" i="7"/>
  <c r="E8" i="7"/>
  <c r="I7" i="7"/>
  <c r="H7" i="7"/>
  <c r="G7" i="7"/>
  <c r="E7" i="7"/>
  <c r="I6" i="7"/>
  <c r="H6" i="7"/>
  <c r="G6" i="7"/>
  <c r="E6" i="7"/>
  <c r="I5" i="7"/>
  <c r="H5" i="7"/>
  <c r="G5" i="7"/>
  <c r="E5" i="7"/>
  <c r="I4" i="7"/>
  <c r="H4" i="7"/>
  <c r="G4" i="7"/>
  <c r="E4" i="7"/>
  <c r="I3" i="7"/>
  <c r="H3" i="7"/>
  <c r="G3" i="7"/>
  <c r="E3" i="7"/>
  <c r="I2" i="7"/>
  <c r="H2" i="7"/>
  <c r="G2" i="7"/>
  <c r="E2" i="7"/>
</calcChain>
</file>

<file path=xl/sharedStrings.xml><?xml version="1.0" encoding="utf-8"?>
<sst xmlns="http://schemas.openxmlformats.org/spreadsheetml/2006/main" count="11422" uniqueCount="1336">
  <si>
    <t>柜号</t>
  </si>
  <si>
    <t>抽屉号</t>
  </si>
  <si>
    <t>行（排）号</t>
  </si>
  <si>
    <t>序号</t>
  </si>
  <si>
    <t>唯一识别号</t>
  </si>
  <si>
    <t>（代称）柜号</t>
  </si>
  <si>
    <t>（代称）抽屉号</t>
  </si>
  <si>
    <t>（代称）行（排）号</t>
  </si>
  <si>
    <t>（代称）序号</t>
  </si>
  <si>
    <t>物料名称</t>
  </si>
  <si>
    <t>安全库存</t>
  </si>
  <si>
    <t>下次采购量</t>
  </si>
  <si>
    <t>新品库存</t>
  </si>
  <si>
    <t>旧品库存</t>
  </si>
  <si>
    <t>01</t>
  </si>
  <si>
    <t>EEEE</t>
  </si>
  <si>
    <t>02</t>
  </si>
  <si>
    <t>EEEE001</t>
  </si>
  <si>
    <t>03</t>
  </si>
  <si>
    <t>EEEE002</t>
  </si>
  <si>
    <t>04</t>
  </si>
  <si>
    <t>EEEE003</t>
  </si>
  <si>
    <t>05</t>
  </si>
  <si>
    <t>EEEE004</t>
  </si>
  <si>
    <t>06</t>
  </si>
  <si>
    <t>EEEE005</t>
  </si>
  <si>
    <t>07</t>
  </si>
  <si>
    <t>EEEE006</t>
  </si>
  <si>
    <t>08</t>
  </si>
  <si>
    <t>EEEE007</t>
  </si>
  <si>
    <t>EEEE008</t>
  </si>
  <si>
    <t>EEEE009</t>
  </si>
  <si>
    <t>EEEE010</t>
  </si>
  <si>
    <t>EEEE011</t>
  </si>
  <si>
    <t>EEEE012</t>
  </si>
  <si>
    <t>EEEE013</t>
  </si>
  <si>
    <t>EEEE014</t>
  </si>
  <si>
    <t>EEEE015</t>
  </si>
  <si>
    <t>EEEE016</t>
  </si>
  <si>
    <t>EEEE017</t>
  </si>
  <si>
    <t>EEEE018</t>
  </si>
  <si>
    <t>EEEE019</t>
  </si>
  <si>
    <t>EEEE020</t>
  </si>
  <si>
    <t>EEEE021</t>
  </si>
  <si>
    <t>EEEE022</t>
  </si>
  <si>
    <t>EEEE023</t>
  </si>
  <si>
    <t>EEEE024</t>
  </si>
  <si>
    <t>EEEE025</t>
  </si>
  <si>
    <t>EEEE026</t>
  </si>
  <si>
    <t>EEEE027</t>
  </si>
  <si>
    <t>EEEE028</t>
  </si>
  <si>
    <t>EEEE029</t>
  </si>
  <si>
    <t>EEEE030</t>
  </si>
  <si>
    <t>EEEE031</t>
  </si>
  <si>
    <t>EEEE032</t>
  </si>
  <si>
    <t>EEEE033</t>
  </si>
  <si>
    <t>EEEE034</t>
  </si>
  <si>
    <t>EEEE035</t>
  </si>
  <si>
    <t>EEEE036</t>
  </si>
  <si>
    <t>EEEE037</t>
  </si>
  <si>
    <t>EEEE038</t>
  </si>
  <si>
    <t>EEEE039</t>
  </si>
  <si>
    <t>EEEE040</t>
  </si>
  <si>
    <t>EEEE041</t>
  </si>
  <si>
    <t>EEEE042</t>
  </si>
  <si>
    <t>EEEE043</t>
  </si>
  <si>
    <t>EEEE044</t>
  </si>
  <si>
    <t>EEEE045</t>
  </si>
  <si>
    <t>EEEE046</t>
  </si>
  <si>
    <t>EEEE047</t>
  </si>
  <si>
    <t>EEEE048</t>
  </si>
  <si>
    <t>EEEE049</t>
  </si>
  <si>
    <t>EEEE050</t>
  </si>
  <si>
    <t>EEEE051</t>
  </si>
  <si>
    <t>EEEE052</t>
  </si>
  <si>
    <t>EEEE053</t>
  </si>
  <si>
    <t>EEEE054</t>
  </si>
  <si>
    <t>EEEE055</t>
  </si>
  <si>
    <t>EEEE056</t>
  </si>
  <si>
    <t>EEEE057</t>
  </si>
  <si>
    <t>EEEE058</t>
  </si>
  <si>
    <t>EEEE059</t>
  </si>
  <si>
    <t>EEEE060</t>
  </si>
  <si>
    <t>EEEE061</t>
  </si>
  <si>
    <t>EEEE062</t>
  </si>
  <si>
    <t>EEEE063</t>
  </si>
  <si>
    <t>EEEE064</t>
  </si>
  <si>
    <t>EEEE065</t>
  </si>
  <si>
    <t>EEEE066</t>
  </si>
  <si>
    <t>EEEE067</t>
  </si>
  <si>
    <t>EEEE068</t>
  </si>
  <si>
    <t>EEEE069</t>
  </si>
  <si>
    <t>EEEE070</t>
  </si>
  <si>
    <t>EEEE071</t>
  </si>
  <si>
    <t>EEEE072</t>
  </si>
  <si>
    <t>EEEE073</t>
  </si>
  <si>
    <t>EEEE074</t>
  </si>
  <si>
    <t>EEEE075</t>
  </si>
  <si>
    <t>EEEE076</t>
  </si>
  <si>
    <t>EEEE077</t>
  </si>
  <si>
    <t>EEEE078</t>
  </si>
  <si>
    <t>EEEE079</t>
  </si>
  <si>
    <t>EEEE080</t>
  </si>
  <si>
    <t>EEEE081</t>
  </si>
  <si>
    <t>EEEE082</t>
  </si>
  <si>
    <t>EEEE083</t>
  </si>
  <si>
    <t>EEEE084</t>
  </si>
  <si>
    <t>EEEE085</t>
  </si>
  <si>
    <t>EEEE086</t>
  </si>
  <si>
    <t>EEEE087</t>
  </si>
  <si>
    <t>EEEE088</t>
  </si>
  <si>
    <t>EEEE089</t>
  </si>
  <si>
    <t>EEEE090</t>
  </si>
  <si>
    <t>EEEE091</t>
  </si>
  <si>
    <t>EEEE092</t>
  </si>
  <si>
    <t>EEEE093</t>
  </si>
  <si>
    <t>EEEE094</t>
  </si>
  <si>
    <t>EEEE095</t>
  </si>
  <si>
    <t>EEEE096</t>
  </si>
  <si>
    <t>EEEE097</t>
  </si>
  <si>
    <t>EEEE098</t>
  </si>
  <si>
    <t>EEEE099</t>
  </si>
  <si>
    <t>EEEE100</t>
  </si>
  <si>
    <t>EEEE101</t>
  </si>
  <si>
    <t>EEEE102</t>
  </si>
  <si>
    <t>EEEE103</t>
  </si>
  <si>
    <t>EEEE104</t>
  </si>
  <si>
    <t>EEEE105</t>
  </si>
  <si>
    <t>EEEE106</t>
  </si>
  <si>
    <t>EEEE107</t>
  </si>
  <si>
    <t>EEEE108</t>
  </si>
  <si>
    <t>EEEE109</t>
  </si>
  <si>
    <t>EEEE110</t>
  </si>
  <si>
    <t>EEEE111</t>
  </si>
  <si>
    <t>EEEE112</t>
  </si>
  <si>
    <t>EEEE113</t>
  </si>
  <si>
    <t>EEEE114</t>
  </si>
  <si>
    <t>EEEE115</t>
  </si>
  <si>
    <t>EEEE116</t>
  </si>
  <si>
    <t>EEEE117</t>
  </si>
  <si>
    <t>EEEE118</t>
  </si>
  <si>
    <t>EEEE119</t>
  </si>
  <si>
    <t>EEEE120</t>
  </si>
  <si>
    <t>EEEE121</t>
  </si>
  <si>
    <t>EEEE122</t>
  </si>
  <si>
    <t>EEEE123</t>
  </si>
  <si>
    <t>EEEE124</t>
  </si>
  <si>
    <t>EEEE125</t>
  </si>
  <si>
    <t>EEEE126</t>
  </si>
  <si>
    <t>EEEE127</t>
  </si>
  <si>
    <t>EEEE128</t>
  </si>
  <si>
    <t>EEEE129</t>
  </si>
  <si>
    <t>EEEE130</t>
  </si>
  <si>
    <t>EEEE131</t>
  </si>
  <si>
    <t>EEEE132</t>
  </si>
  <si>
    <t>EEEE133</t>
  </si>
  <si>
    <t>EEEE134</t>
  </si>
  <si>
    <t>EEEE135</t>
  </si>
  <si>
    <t>EEEE136</t>
  </si>
  <si>
    <t>EEEE137</t>
  </si>
  <si>
    <t>EEEE138</t>
  </si>
  <si>
    <t>EEEE139</t>
  </si>
  <si>
    <t>EEEE140</t>
  </si>
  <si>
    <t>EEEE141</t>
  </si>
  <si>
    <t>EEEE142</t>
  </si>
  <si>
    <t>EEEE143</t>
  </si>
  <si>
    <t>EEEE144</t>
  </si>
  <si>
    <t>EEEE145</t>
  </si>
  <si>
    <t>EEEE146</t>
  </si>
  <si>
    <t>EEEE147</t>
  </si>
  <si>
    <t>EEEE148</t>
  </si>
  <si>
    <t>EEEE149</t>
  </si>
  <si>
    <t>EEEE150</t>
  </si>
  <si>
    <t>EEEE151</t>
  </si>
  <si>
    <t>EEEE152</t>
  </si>
  <si>
    <t>EEEE153</t>
  </si>
  <si>
    <t>EEEE154</t>
  </si>
  <si>
    <t>EEEE155</t>
  </si>
  <si>
    <t>EEEE156</t>
  </si>
  <si>
    <t>EEEE157</t>
  </si>
  <si>
    <t>EEEE158</t>
  </si>
  <si>
    <t>EEEE159</t>
  </si>
  <si>
    <t>EEEE160</t>
  </si>
  <si>
    <t>EEEE161</t>
  </si>
  <si>
    <t>EEEE162</t>
  </si>
  <si>
    <t>EEEE163</t>
  </si>
  <si>
    <t>EEEE164</t>
  </si>
  <si>
    <t>EEEE165</t>
  </si>
  <si>
    <t>EEEE166</t>
  </si>
  <si>
    <t>EEEE167</t>
  </si>
  <si>
    <t>EEEE168</t>
  </si>
  <si>
    <t>EEEE169</t>
  </si>
  <si>
    <t>EEEE170</t>
  </si>
  <si>
    <t>EEEE171</t>
  </si>
  <si>
    <t>EEEE172</t>
  </si>
  <si>
    <t>EEEE173</t>
  </si>
  <si>
    <t>EEEE174</t>
  </si>
  <si>
    <t>EEEE175</t>
  </si>
  <si>
    <t>EEEE176</t>
  </si>
  <si>
    <t>EEEE177</t>
  </si>
  <si>
    <t>EEEE178</t>
  </si>
  <si>
    <t>EEEE179</t>
  </si>
  <si>
    <t>EEEE180</t>
  </si>
  <si>
    <t>EEEE181</t>
  </si>
  <si>
    <t>EEEE182</t>
  </si>
  <si>
    <t>EEEE183</t>
  </si>
  <si>
    <t>EEEE184</t>
  </si>
  <si>
    <t>EEEE185</t>
  </si>
  <si>
    <t>EEEE186</t>
  </si>
  <si>
    <t>EEEE187</t>
  </si>
  <si>
    <t>EEEE188</t>
  </si>
  <si>
    <t>EEEE189</t>
  </si>
  <si>
    <t>EEEE190</t>
  </si>
  <si>
    <t>EEEE191</t>
  </si>
  <si>
    <t>EEEE192</t>
  </si>
  <si>
    <t>EEEE193</t>
  </si>
  <si>
    <t>EEEE194</t>
  </si>
  <si>
    <t>EEEE195</t>
  </si>
  <si>
    <t>EEEE196</t>
  </si>
  <si>
    <t>EEEE197</t>
  </si>
  <si>
    <t>EEEE198</t>
  </si>
  <si>
    <t>EEEE199</t>
  </si>
  <si>
    <t>EEEE200</t>
  </si>
  <si>
    <t>EEEE201</t>
  </si>
  <si>
    <t>EEEE202</t>
  </si>
  <si>
    <t>EEEE203</t>
  </si>
  <si>
    <t>EEEE204</t>
  </si>
  <si>
    <t>EEEE205</t>
  </si>
  <si>
    <t>EEEE206</t>
  </si>
  <si>
    <t>EEEE207</t>
  </si>
  <si>
    <t>EEEE208</t>
  </si>
  <si>
    <t>EEEE209</t>
  </si>
  <si>
    <t>EEEE210</t>
  </si>
  <si>
    <t>EEEE211</t>
  </si>
  <si>
    <t>EEEE212</t>
  </si>
  <si>
    <t>EEEE213</t>
  </si>
  <si>
    <t>EEEE214</t>
  </si>
  <si>
    <t>EEEE215</t>
  </si>
  <si>
    <t>EEEE216</t>
  </si>
  <si>
    <t>EEEE217</t>
  </si>
  <si>
    <t>EEEE218</t>
  </si>
  <si>
    <t>EEEE219</t>
  </si>
  <si>
    <t>EEEE220</t>
  </si>
  <si>
    <t>EEEE221</t>
  </si>
  <si>
    <t>EEEE222</t>
  </si>
  <si>
    <t>EEEE223</t>
  </si>
  <si>
    <t>EEEE224</t>
  </si>
  <si>
    <t>EEEE225</t>
  </si>
  <si>
    <t>EEEE226</t>
  </si>
  <si>
    <t>EEEE227</t>
  </si>
  <si>
    <t>EEEE228</t>
  </si>
  <si>
    <t>EEEE229</t>
  </si>
  <si>
    <t>EEEE230</t>
  </si>
  <si>
    <t>EEEE231</t>
  </si>
  <si>
    <t>EEEE232</t>
  </si>
  <si>
    <t>EEEE233</t>
  </si>
  <si>
    <t>EEEE234</t>
  </si>
  <si>
    <t>EEEE235</t>
  </si>
  <si>
    <t>EEEE236</t>
  </si>
  <si>
    <t>EEEE237</t>
  </si>
  <si>
    <t>EEEE238</t>
  </si>
  <si>
    <t>EEEE239</t>
  </si>
  <si>
    <t>EEEE240</t>
  </si>
  <si>
    <t>EEEE241</t>
  </si>
  <si>
    <t>EEEE242</t>
  </si>
  <si>
    <t>EEEE243</t>
  </si>
  <si>
    <t>EEEE244</t>
  </si>
  <si>
    <t>EEEE245</t>
  </si>
  <si>
    <t>EEEE246</t>
  </si>
  <si>
    <t>EEEE247</t>
  </si>
  <si>
    <t>EEEE248</t>
  </si>
  <si>
    <t>EEEE249</t>
  </si>
  <si>
    <t>EEEE250</t>
  </si>
  <si>
    <t>EEEE251</t>
  </si>
  <si>
    <t>EEEE252</t>
  </si>
  <si>
    <t>EEEE253</t>
  </si>
  <si>
    <t>EEEE254</t>
  </si>
  <si>
    <t>EEEE255</t>
  </si>
  <si>
    <t>柜子四</t>
  </si>
  <si>
    <t>880-0102W04H-P-MS 2044</t>
  </si>
  <si>
    <t>880-0102W04H-P-LM 4344</t>
  </si>
  <si>
    <t>880-020204H-C-LM  1144</t>
  </si>
  <si>
    <t>880-0202W05H-P-MS 2044</t>
  </si>
  <si>
    <t>880-030305H-C-LM 1144</t>
  </si>
  <si>
    <t>880-0303W06H-P-MS 2044</t>
  </si>
  <si>
    <t>880-0403W07H-P-MS 2044</t>
  </si>
  <si>
    <t>880-040305H-C-LM 1144</t>
  </si>
  <si>
    <t>880-0503W08H-P-MS 2044</t>
  </si>
  <si>
    <t>870-2400-24-MM 2334</t>
  </si>
  <si>
    <t>SONT042105ER-M30 CTPP430</t>
  </si>
  <si>
    <t>XCNT 050204EN CTPP430</t>
  </si>
  <si>
    <t>P4840P-2R-E67 WSP45G</t>
  </si>
  <si>
    <t>P4840C-2R-E67 WXP40</t>
  </si>
  <si>
    <t>P4840P-3R-E67 WSP45G</t>
  </si>
  <si>
    <t>P4840C-3R-E67 WXP40</t>
  </si>
  <si>
    <t>P4840P-4R-E67 WSP45</t>
  </si>
  <si>
    <t>P4840C-4R-E67 WXP40</t>
  </si>
  <si>
    <t>P4841P-4R-E57 WXP45G</t>
  </si>
  <si>
    <t>P4840C-5R-E67 WXP40</t>
  </si>
  <si>
    <t>P4840C-5R-E67 WSP45G</t>
  </si>
  <si>
    <t>P4840P-5R-E67 WSP45G</t>
  </si>
  <si>
    <t>P4840C-6R-E67 WXP40</t>
  </si>
  <si>
    <t>P4840P-6R-E67 WSP45G</t>
  </si>
  <si>
    <t>P4840C-7R-E67 WXP40</t>
  </si>
  <si>
    <t>P4840P-7R-E67 WSP45G</t>
  </si>
  <si>
    <t>SDMT09T308-F57 WSM45X</t>
  </si>
  <si>
    <t>P4840P-8R-E67 WSP45G</t>
  </si>
  <si>
    <t>P4840C-8R-E67 WSP45G</t>
  </si>
  <si>
    <t>GD600-2400-P</t>
  </si>
  <si>
    <t>GD600-1305-M</t>
  </si>
  <si>
    <t>P6003-D14.00R  WMP35</t>
  </si>
  <si>
    <t>P6003-D18.00R  WMP35</t>
  </si>
  <si>
    <t>DCMT070204-UM</t>
  </si>
  <si>
    <t>DCGT070202-MN2 WN10</t>
  </si>
  <si>
    <t>DCGT11T304--FN2 WN10</t>
  </si>
  <si>
    <t>CCMT09T304-E47 WSM20S</t>
  </si>
  <si>
    <t>CCGT09T304-AK</t>
  </si>
  <si>
    <t>CCMT09T308-E47 WSM20S</t>
  </si>
  <si>
    <t>CCGT060204-AK</t>
  </si>
  <si>
    <t>CCGT060202-FN2 WN10</t>
  </si>
  <si>
    <t>TBGT060104L</t>
  </si>
  <si>
    <t>TCEX050100L-F 1105</t>
  </si>
  <si>
    <t>TCMX110304-WF 1115</t>
  </si>
  <si>
    <t>TCMT16T304EN-M25CTPM125</t>
  </si>
  <si>
    <t>TCMT110204-RM4 WSM20S</t>
  </si>
  <si>
    <t>TOHT160408EN-05 BK6425</t>
  </si>
  <si>
    <t>TCGT06T104L-K 1125</t>
  </si>
  <si>
    <t>CCMT060202-FM4  WSM20S</t>
  </si>
  <si>
    <t>WPMT040204-MF 1125</t>
  </si>
  <si>
    <t>WBGT060104L-FX</t>
  </si>
  <si>
    <t>WBGT060104L-F</t>
  </si>
  <si>
    <t>R300-1032E-MM 1040</t>
  </si>
  <si>
    <t>CCMT060204-RM4   WSM20S</t>
  </si>
  <si>
    <t>09</t>
  </si>
  <si>
    <t>VCMT080204-PSF T9215</t>
  </si>
  <si>
    <t>VCMT110304-FM4 WSM10S</t>
  </si>
  <si>
    <t>VCMT080202-PSF AH725</t>
  </si>
  <si>
    <t>VCMT110302-FM4 WSM10S</t>
  </si>
  <si>
    <t>VCMT080202-SV VP15TF</t>
  </si>
  <si>
    <t>VBGT110304FN-JS SH725</t>
  </si>
  <si>
    <t>VCMT080204-PSF AH725</t>
  </si>
  <si>
    <t>CCGT03X102F-JS SH725</t>
  </si>
  <si>
    <t>CCGT04T102-JS SH730</t>
  </si>
  <si>
    <t>CCGT04T104-JSSH730</t>
  </si>
  <si>
    <t>CPGT 05T104ENDX70</t>
  </si>
  <si>
    <t>VBMT110304-MF 2220</t>
  </si>
  <si>
    <t>DCGT11T304-MN2 WN10</t>
  </si>
  <si>
    <t>VCMT080204-SV VP15TF</t>
  </si>
  <si>
    <t>CCGT03X104F-JS SH725</t>
  </si>
  <si>
    <t>TCMT06T102-FM4  WSM21</t>
  </si>
  <si>
    <t>DCGT070204-MN2 WN10</t>
  </si>
  <si>
    <t>R300-0828E-PL</t>
  </si>
  <si>
    <t>010</t>
  </si>
  <si>
    <t>2IR 1.0ISO VTX</t>
  </si>
  <si>
    <t>2IR 1.0ISO VK2P</t>
  </si>
  <si>
    <t>2I 1.5ISOTM2 VK2</t>
  </si>
  <si>
    <t>2IR 14NPT VTX</t>
  </si>
  <si>
    <t>2IR 14W VTX</t>
  </si>
  <si>
    <t>2IR 16UN VTX</t>
  </si>
  <si>
    <t>2IR 18NPT VTX</t>
  </si>
  <si>
    <t>2IR 19W VTX</t>
  </si>
  <si>
    <t>2EI 19WTM2 VTX</t>
  </si>
  <si>
    <t>3IR1.0ISOVRX</t>
  </si>
  <si>
    <t>3IR 1.0ISOVKX</t>
  </si>
  <si>
    <t>3IR1.5ISOVTX</t>
  </si>
  <si>
    <t>3IR2.0ISO VTX</t>
  </si>
  <si>
    <t>3IR2.5ISO VTX</t>
  </si>
  <si>
    <t>3IR6RD VTX</t>
  </si>
  <si>
    <t>3IR11BSPT VTX</t>
  </si>
  <si>
    <t>3IR11.5NPT VTX</t>
  </si>
  <si>
    <t>3IR12W VTX</t>
  </si>
  <si>
    <t>3IR14W VTX</t>
  </si>
  <si>
    <t>3IR14NPT VTX</t>
  </si>
  <si>
    <t>3IR19W VTX</t>
  </si>
  <si>
    <t>4.0KIR 0.75ISO</t>
  </si>
  <si>
    <t>5KIR1.0ISO</t>
  </si>
  <si>
    <t>5KIR18NPT</t>
  </si>
  <si>
    <t>5.0KIR19W</t>
  </si>
  <si>
    <t>5LKIR19BSPT VTX</t>
  </si>
  <si>
    <t>6.0KIR18NPT VTX</t>
  </si>
  <si>
    <t>6.0KIR19W</t>
  </si>
  <si>
    <t>3IR8NPT</t>
  </si>
  <si>
    <t>011</t>
  </si>
  <si>
    <t>R166.OL-11NT01F140 1020</t>
  </si>
  <si>
    <t>R166.OL-11NT01F180 1020</t>
  </si>
  <si>
    <t>266RL-16MM01A075M 1135</t>
  </si>
  <si>
    <t>2IR 18UN VTX</t>
  </si>
  <si>
    <t>3IR 10W VKX</t>
  </si>
  <si>
    <t>3IL 11W VTX</t>
  </si>
  <si>
    <t>VTX6.0KIR19W</t>
  </si>
  <si>
    <t>3IL 2.0ISO VTX</t>
  </si>
  <si>
    <t>STIL80020-60°</t>
  </si>
  <si>
    <t>266RL-16PT01A140E 1135</t>
  </si>
  <si>
    <t>266RL-16PT01A110E 1135</t>
  </si>
  <si>
    <t>266RL-16NT01C080M 1135</t>
  </si>
  <si>
    <t>MS439THF55L16RVBX</t>
  </si>
  <si>
    <t xml:space="preserve">CXS-06TH19WH-6215R 1025  </t>
  </si>
  <si>
    <t>M659TH27NPTL16R VBX</t>
  </si>
  <si>
    <t>012</t>
  </si>
  <si>
    <t>CXS-04T098-00-0602R 1025</t>
  </si>
  <si>
    <t>CXS-04T098-00-0703R 1025</t>
  </si>
  <si>
    <t>CXS-04T098-00-0804R 1025</t>
  </si>
  <si>
    <t>CXS-04T098-00-0905R 1025</t>
  </si>
  <si>
    <t>CXS-04T098-10-1006R 1025</t>
  </si>
  <si>
    <t>CXS-04T098-10-1004R 1025</t>
  </si>
  <si>
    <t>CXS-04T098-10-1706R 1025</t>
  </si>
  <si>
    <t>CXS-04T098-05-1709R 1025</t>
  </si>
  <si>
    <t>CXS-04T098-10-2206R 1025</t>
  </si>
  <si>
    <t>CXS-04T098-10-2209R 1025</t>
  </si>
  <si>
    <t>CXS-04T098-05-2710R 1025</t>
  </si>
  <si>
    <t>CXS-04T098-15-2710R 1025</t>
  </si>
  <si>
    <t>CXS-04T098-15-2715R 1025</t>
  </si>
  <si>
    <t>CXS-04T098-15-3215R 1025</t>
  </si>
  <si>
    <t>CXS-04T098-10-1709R 1025</t>
  </si>
  <si>
    <t>CXS-04T098-00-0502R 1025</t>
  </si>
  <si>
    <t>013</t>
  </si>
  <si>
    <t>CXS-04T098-15-4220R 1125</t>
  </si>
  <si>
    <t>CXS-04T098-05-4215R 1125</t>
  </si>
  <si>
    <t>MS442BCR15L16RVTX</t>
  </si>
  <si>
    <t>CXS-05T098A20-5230R 1025</t>
  </si>
  <si>
    <t>CXS-05T098-20-5210R 1025</t>
  </si>
  <si>
    <t>CXS-06TH150MM-6215R 1025</t>
  </si>
  <si>
    <t>CXS-06G157-6215R 1025</t>
  </si>
  <si>
    <t>R050.06/AL41F</t>
  </si>
  <si>
    <t>R050.15-10/AL41F</t>
  </si>
  <si>
    <t>R050.4-20C/AL41F</t>
  </si>
  <si>
    <t>R050.5-15/AL41F</t>
  </si>
  <si>
    <t>R00M01-20/AL41F</t>
  </si>
  <si>
    <t>R006M0200-22/AL41F</t>
  </si>
  <si>
    <t>08-R0.05-3-C4-50</t>
  </si>
  <si>
    <t>1.3-R0.05-3C4-50</t>
  </si>
  <si>
    <t>R020.0400-40/AL41F</t>
  </si>
  <si>
    <t>CXS-05T098-20-5220R 1125</t>
  </si>
  <si>
    <t>MKR 6 R0.75 L22 JF610M</t>
  </si>
  <si>
    <t>M662CBLFR20L16RC VTX</t>
  </si>
  <si>
    <t>PICCO R 020.0400-40IC 1008</t>
  </si>
  <si>
    <t>Ø4*60°*D4*50</t>
  </si>
  <si>
    <t>HMG33040D4.0 90°</t>
  </si>
  <si>
    <t>HMG33050D5.0 90°</t>
  </si>
  <si>
    <t>HMG357005D5.0 90°</t>
  </si>
  <si>
    <t>HMG320050D5.0 60°</t>
  </si>
  <si>
    <t>D5*60°*50</t>
  </si>
  <si>
    <t>MG-4E-2.7M*60.1°*D6</t>
  </si>
  <si>
    <t>HM-V MILL90°*D6</t>
  </si>
  <si>
    <t>Ø6.5*60°*D7*50</t>
  </si>
  <si>
    <t>Ø8.0*3/90°</t>
  </si>
  <si>
    <t>W10.132*D8</t>
  </si>
  <si>
    <t>W31.084</t>
  </si>
  <si>
    <t>D10*120°*25*75*10</t>
  </si>
  <si>
    <t>Ø12*40°*70</t>
  </si>
  <si>
    <t>Ø12*45°*70</t>
  </si>
  <si>
    <t>Ø12*55°*70</t>
  </si>
  <si>
    <t>Ø12*50°*70</t>
  </si>
  <si>
    <t>316-12CM210-12045G 1730</t>
  </si>
  <si>
    <t>Ø0.02/90/PV-41457</t>
  </si>
  <si>
    <t>5678- 8.000</t>
  </si>
  <si>
    <t>8HEYU0007  D5-22-50</t>
  </si>
  <si>
    <t>Ø12*90°*60</t>
  </si>
  <si>
    <t>Ø8*90°*D8*75</t>
  </si>
  <si>
    <t>Ø1.39*2.5*R2*D6*60</t>
  </si>
  <si>
    <t>Ø1.8*3.0*50°*D4*60</t>
  </si>
  <si>
    <t>Ø2.4*4*50°*D6*60</t>
  </si>
  <si>
    <t>Ø3*5*45°*D8*65</t>
  </si>
  <si>
    <t>Ø3*5*50°*D8*65</t>
  </si>
  <si>
    <t>Ø3+Ø8R2*130°</t>
  </si>
  <si>
    <t>Ø5+Ø12R2*130°</t>
  </si>
  <si>
    <t>Ø3*3.5*SD8*60L</t>
  </si>
  <si>
    <t>W10.041</t>
  </si>
  <si>
    <t>1.0*4.0</t>
  </si>
  <si>
    <t>A2.5*60°*6</t>
  </si>
  <si>
    <t>3*60°*8</t>
  </si>
  <si>
    <t>Ø2.5</t>
  </si>
  <si>
    <t>10.4*90°</t>
  </si>
  <si>
    <t>16.5*90°</t>
  </si>
  <si>
    <t>Ø7.5*12R2*D12*70</t>
  </si>
  <si>
    <t>20.5*90°</t>
  </si>
  <si>
    <t>20.5*120°*3</t>
  </si>
  <si>
    <t>30*90°</t>
  </si>
  <si>
    <t>VCA120L05.0A45-04S08 AH725</t>
  </si>
  <si>
    <t>VSSD12L07S08-W-A</t>
  </si>
  <si>
    <t>B45TC1632 2T25-120</t>
  </si>
  <si>
    <t>VCW118L05.0A45-02S06 AH725</t>
  </si>
  <si>
    <t>VSSD10L075S06</t>
  </si>
  <si>
    <t>Ø8*30°*60</t>
  </si>
  <si>
    <t>W09.772</t>
  </si>
  <si>
    <t>W09.766</t>
  </si>
  <si>
    <t>W09.763</t>
  </si>
  <si>
    <t>W09.759</t>
  </si>
  <si>
    <t>D5R2.5*15*D6*75</t>
  </si>
  <si>
    <t>W09.770</t>
  </si>
  <si>
    <t>W09.755</t>
  </si>
  <si>
    <t>W09.747</t>
  </si>
  <si>
    <t>W09.726</t>
  </si>
  <si>
    <t>Ø8.5</t>
  </si>
  <si>
    <t>W09.721</t>
  </si>
  <si>
    <t>Ø10.0</t>
  </si>
  <si>
    <t>W09.741</t>
  </si>
  <si>
    <t>W09.734</t>
  </si>
  <si>
    <t>W09.780</t>
  </si>
  <si>
    <t>W09.777</t>
  </si>
  <si>
    <t>W09.779</t>
  </si>
  <si>
    <t>W09.807</t>
  </si>
  <si>
    <t>ART:56036  D3.5引导钻</t>
  </si>
  <si>
    <t>阿诺  D4.43引导钻</t>
  </si>
  <si>
    <t>56036-Ø5引导钻</t>
  </si>
  <si>
    <t>56036-Ø4引导钻</t>
  </si>
  <si>
    <t>LE-HY-D004-001-0001 D2.5</t>
  </si>
  <si>
    <t>W09.773.00Ø4.05</t>
  </si>
  <si>
    <t>W09.767.00Ø5.1</t>
  </si>
  <si>
    <t>W09.769.00Ø5.4</t>
  </si>
  <si>
    <t>W09.764.00Ø5.4</t>
  </si>
  <si>
    <t>W09.761.00Ø5.9</t>
  </si>
  <si>
    <t>W09.760.00Ø5.9</t>
  </si>
  <si>
    <t>W09.768.00Ø5.9</t>
  </si>
  <si>
    <t>W09.765.00Ø5.9</t>
  </si>
  <si>
    <t>W09.771.00Ø6.4</t>
  </si>
  <si>
    <t>W09.762.00Ø6.85</t>
  </si>
  <si>
    <t>W09.756.00Ø6.85</t>
  </si>
  <si>
    <t>W09.757.00Ø6.85</t>
  </si>
  <si>
    <t>W09.758.00Ø7.05</t>
  </si>
  <si>
    <t>W09.754.00Ø7.15</t>
  </si>
  <si>
    <t>W09.753.00Ø7.15</t>
  </si>
  <si>
    <t>W09.748.00Ø7.15</t>
  </si>
  <si>
    <t>W09.750.00Ø7.15</t>
  </si>
  <si>
    <t>W09.751.00Ø7.6</t>
  </si>
  <si>
    <t>W09.749.00Ø7.6</t>
  </si>
  <si>
    <t>W09.743.00Ø9.6</t>
  </si>
  <si>
    <t>W09.744.00Ø9.6</t>
  </si>
  <si>
    <t>W09.724.00Ø10.1</t>
  </si>
  <si>
    <t>W09.745.00Ø10.1</t>
  </si>
  <si>
    <t>W09.713.00Ø10.4</t>
  </si>
  <si>
    <t>W09.738.00Ø10.45</t>
  </si>
  <si>
    <t>W09.737.00Ø10.45</t>
  </si>
  <si>
    <t>W09.736.00Ø10.45</t>
  </si>
  <si>
    <t>W09.732.00Ø14.0</t>
  </si>
  <si>
    <t>W09.739.00Ø14.0</t>
  </si>
  <si>
    <t>W09.731.00Ø14.0</t>
  </si>
  <si>
    <t>W09.730.00Ø14.0</t>
  </si>
  <si>
    <t>W09.733.00Ø14.0</t>
  </si>
  <si>
    <t>W09.740.00Ø14.0</t>
  </si>
  <si>
    <t>W09.776.00Ø18.0</t>
  </si>
  <si>
    <t>Ø10*7.8*8.9</t>
  </si>
  <si>
    <t>W10.009</t>
  </si>
  <si>
    <t>W10.052</t>
  </si>
  <si>
    <t>W10.054</t>
  </si>
  <si>
    <t>W10.055</t>
  </si>
  <si>
    <t>W10.078</t>
  </si>
  <si>
    <t>W10.079</t>
  </si>
  <si>
    <t>W10.093</t>
  </si>
  <si>
    <t>W10.098</t>
  </si>
  <si>
    <t>W11.207</t>
  </si>
  <si>
    <t>W11.225</t>
  </si>
  <si>
    <t>W11.238</t>
  </si>
  <si>
    <t>W11.240</t>
  </si>
  <si>
    <t>W09.760.00</t>
  </si>
  <si>
    <t>W09.761.00</t>
  </si>
  <si>
    <t>W09.764.00</t>
  </si>
  <si>
    <t>W09.768.00</t>
  </si>
  <si>
    <t>W09.773.00</t>
  </si>
  <si>
    <t>W09.776.00</t>
  </si>
  <si>
    <t>D14*70-W11.252</t>
  </si>
  <si>
    <t>W11.252</t>
  </si>
  <si>
    <t>W11.943</t>
  </si>
  <si>
    <t>W11.944</t>
  </si>
  <si>
    <t>W11.946</t>
  </si>
  <si>
    <t>W11.972</t>
  </si>
  <si>
    <t>2刃;D2.5;L=75;SD6</t>
  </si>
  <si>
    <t>W11.179</t>
  </si>
  <si>
    <t>W11.246</t>
  </si>
  <si>
    <t>D8.8*47*D10*89</t>
  </si>
  <si>
    <t>D9*47*89*SD10 2T</t>
  </si>
  <si>
    <t>D12.8*60*D14*107</t>
  </si>
  <si>
    <t>D13*60*D14*107</t>
  </si>
  <si>
    <t>D14.3*65*D16*115</t>
  </si>
  <si>
    <t>D14.5*65*D16*115</t>
  </si>
  <si>
    <t>Ø5.7*118°*25*D6*60</t>
  </si>
  <si>
    <t>Ø5.3*118°*25*D6*60</t>
  </si>
  <si>
    <t>Ø6.5*118°*25*D7*60</t>
  </si>
  <si>
    <t>D6*120°*28*D6*66</t>
  </si>
  <si>
    <t>DRIC-D3.01*20*D6*62</t>
  </si>
  <si>
    <t>ART:52930  D3.5</t>
  </si>
  <si>
    <t>D4.4*136*D6</t>
  </si>
  <si>
    <t>ART:52920  D5.0</t>
  </si>
  <si>
    <t>ART:52920  D6.0</t>
  </si>
  <si>
    <t>ART:52916  D7.0</t>
  </si>
  <si>
    <t>D15.5*30*D16*90</t>
  </si>
  <si>
    <t>D2.4*8*D4*50-A120</t>
  </si>
  <si>
    <t>D2.5*8*D4*50-A120</t>
  </si>
  <si>
    <t>CC-D4*13*D4*50-A30</t>
  </si>
  <si>
    <t>D8-20-60-SD10-Z2</t>
  </si>
  <si>
    <t>Ø1.0*6*38*3</t>
  </si>
  <si>
    <t>Ø1.1</t>
  </si>
  <si>
    <t>Ø1.25</t>
  </si>
  <si>
    <t>Ø1.3</t>
  </si>
  <si>
    <t>Ø1.4</t>
  </si>
  <si>
    <t>Ø1.5</t>
  </si>
  <si>
    <t>Ø1.53</t>
  </si>
  <si>
    <t>Ø1.55</t>
  </si>
  <si>
    <t>Ø1.6</t>
  </si>
  <si>
    <t>Ø1.7</t>
  </si>
  <si>
    <t>Ø1.73</t>
  </si>
  <si>
    <t>Ø1.75</t>
  </si>
  <si>
    <t>Ø1.78</t>
  </si>
  <si>
    <t>Ø1.8</t>
  </si>
  <si>
    <t>Ø1.85</t>
  </si>
  <si>
    <t>Ø1.9</t>
  </si>
  <si>
    <t>Ø1.95</t>
  </si>
  <si>
    <t>Ø2.0</t>
  </si>
  <si>
    <t>Ø2.1</t>
  </si>
  <si>
    <t>Ø2.2</t>
  </si>
  <si>
    <t>Ø2.3</t>
  </si>
  <si>
    <t>Ø2.33</t>
  </si>
  <si>
    <t>Ø2.4</t>
  </si>
  <si>
    <t>Ø2.45</t>
  </si>
  <si>
    <t>Ø2.48</t>
  </si>
  <si>
    <t>Ø2.6</t>
  </si>
  <si>
    <t>Ø2.63</t>
  </si>
  <si>
    <t>Ø2.65</t>
  </si>
  <si>
    <t>Ø2.7</t>
  </si>
  <si>
    <t>Ø2.8</t>
  </si>
  <si>
    <t>Ø2.9</t>
  </si>
  <si>
    <t>Ø2.95</t>
  </si>
  <si>
    <t>Ø3.0</t>
  </si>
  <si>
    <t>Ø3.2</t>
  </si>
  <si>
    <t>Ø3.25</t>
  </si>
  <si>
    <t>Ø3.4</t>
  </si>
  <si>
    <t>Ø3.5</t>
  </si>
  <si>
    <t>Ø3.6</t>
  </si>
  <si>
    <t>Ø3.7</t>
  </si>
  <si>
    <t>Ø3.8</t>
  </si>
  <si>
    <t>Ø3.9</t>
  </si>
  <si>
    <t>Ø4.0</t>
  </si>
  <si>
    <t>Ø4.1</t>
  </si>
  <si>
    <t>Ø4.2</t>
  </si>
  <si>
    <t>Ø4.3</t>
  </si>
  <si>
    <t>Ø4.4</t>
  </si>
  <si>
    <t>Ø4.5</t>
  </si>
  <si>
    <t>Ø4.6</t>
  </si>
  <si>
    <t>Ø4.7</t>
  </si>
  <si>
    <t>Ø4.8</t>
  </si>
  <si>
    <t>Ø5.0</t>
  </si>
  <si>
    <t>Ø5.1</t>
  </si>
  <si>
    <t>Ø5.4</t>
  </si>
  <si>
    <t>Ø5.6</t>
  </si>
  <si>
    <t>Ø5.7</t>
  </si>
  <si>
    <t>Ø5.8</t>
  </si>
  <si>
    <t>Ø6.0</t>
  </si>
  <si>
    <t>Ø6.1</t>
  </si>
  <si>
    <t>Ø6.2</t>
  </si>
  <si>
    <t>Ø6.6</t>
  </si>
  <si>
    <t>Ø6,8</t>
  </si>
  <si>
    <t>Ø7.0</t>
  </si>
  <si>
    <t>Ø7.2</t>
  </si>
  <si>
    <t>Ø7.3</t>
  </si>
  <si>
    <t>Ø7.4</t>
  </si>
  <si>
    <t>Ø7.7</t>
  </si>
  <si>
    <t>Ø7.8</t>
  </si>
  <si>
    <t>Ø7.9</t>
  </si>
  <si>
    <t>Ø8.0</t>
  </si>
  <si>
    <t>Ø8.1</t>
  </si>
  <si>
    <t>Ø8.2</t>
  </si>
  <si>
    <t>Ø8.4</t>
  </si>
  <si>
    <t>Ø8.7</t>
  </si>
  <si>
    <t>Ø8.8</t>
  </si>
  <si>
    <t>Ø9.0</t>
  </si>
  <si>
    <t>Ø9.2</t>
  </si>
  <si>
    <t>Ø9.3</t>
  </si>
  <si>
    <t>Ø9.6</t>
  </si>
  <si>
    <t>Ø9.7</t>
  </si>
  <si>
    <t>Ø9.8</t>
  </si>
  <si>
    <t>Ø9.9</t>
  </si>
  <si>
    <t>Ø10.4</t>
  </si>
  <si>
    <t>Ø10.5</t>
  </si>
  <si>
    <t>Ø10.8</t>
  </si>
  <si>
    <t>Ø11</t>
  </si>
  <si>
    <t>Ø11.4</t>
  </si>
  <si>
    <t>Ø11.7</t>
  </si>
  <si>
    <t>Ø11.8</t>
  </si>
  <si>
    <t>Ø2.57</t>
  </si>
  <si>
    <t>Ø12.8</t>
  </si>
  <si>
    <t>Ø13.0</t>
  </si>
  <si>
    <t>Ø2.05</t>
  </si>
  <si>
    <t>Ø2.15</t>
  </si>
  <si>
    <t>D0.8*8*50L</t>
  </si>
  <si>
    <t>DB131-02-00.800A0-WJ30EL</t>
  </si>
  <si>
    <t>Ø0.85*1*D5*50</t>
  </si>
  <si>
    <t>D0.9*8*50L</t>
  </si>
  <si>
    <t>D0.9*10*50L*4D</t>
  </si>
  <si>
    <t>D0.92*6*50L*SD4</t>
  </si>
  <si>
    <t>D0.97*6*50L*SD4</t>
  </si>
  <si>
    <t>D1.00*1.5*50*4D</t>
  </si>
  <si>
    <t>TAC-ESDR1.0</t>
  </si>
  <si>
    <t>462.1-1000-065A0-XM H10F</t>
  </si>
  <si>
    <t>D1.02*15*50*4</t>
  </si>
  <si>
    <t>D1.05</t>
  </si>
  <si>
    <t>D1.17*7.5*50L*SD4</t>
  </si>
  <si>
    <t>D1.2*8*50L*4D</t>
  </si>
  <si>
    <t>D1.22*15*50*4</t>
  </si>
  <si>
    <t>D1.32*10*50L*SD4</t>
  </si>
  <si>
    <t>D1.4*10*50L*SD4</t>
  </si>
  <si>
    <t>D1.42*12*50*4</t>
  </si>
  <si>
    <t>50622-Ø1.42</t>
  </si>
  <si>
    <t>D1.52*15*50*4</t>
  </si>
  <si>
    <t>D1.57*20*50L*4D</t>
  </si>
  <si>
    <t>D1.6*10*50L*4D</t>
  </si>
  <si>
    <t>W09.014</t>
  </si>
  <si>
    <t>50622-Ø1.62</t>
  </si>
  <si>
    <t>Ø1.65*15*D4*82</t>
  </si>
  <si>
    <t>D1.45*12*50*4</t>
  </si>
  <si>
    <t>D0.6</t>
  </si>
  <si>
    <t>D0.65</t>
  </si>
  <si>
    <t>D0.71</t>
  </si>
  <si>
    <t>D1.72*20*D3*50</t>
  </si>
  <si>
    <t>D2.82*20*D3*50</t>
  </si>
  <si>
    <t>Ø1.66*15*D4*82</t>
  </si>
  <si>
    <t>D1.8*12*50L*4D</t>
  </si>
  <si>
    <t>D1.82*20*50*SD4</t>
  </si>
  <si>
    <t>50622-Ø1.85</t>
  </si>
  <si>
    <t>50622-Ø1.90</t>
  </si>
  <si>
    <t>Ø1.9*15*D4*50</t>
  </si>
  <si>
    <t>D2.0*12*50*4</t>
  </si>
  <si>
    <t>D2.0*15*D4*82</t>
  </si>
  <si>
    <t>D2.0*25*D6*60</t>
  </si>
  <si>
    <t>A1249XP-2/A3389AML-2</t>
  </si>
  <si>
    <t>Ø2*10*D3*50</t>
  </si>
  <si>
    <t>D2.2*13*50L*4D</t>
  </si>
  <si>
    <t>Ø2.32*20*D4*60</t>
  </si>
  <si>
    <t>G-SSDB2.4</t>
  </si>
  <si>
    <t>WNR-GU5Ø2.4</t>
  </si>
  <si>
    <t>D2.4*14*50L*4D</t>
  </si>
  <si>
    <t>50622-Ø2.45</t>
  </si>
  <si>
    <t>Ø2.5*15*D4*82</t>
  </si>
  <si>
    <t>50622-Ø2.55</t>
  </si>
  <si>
    <t>Ø2.55*15*D4*82</t>
  </si>
  <si>
    <t>Ø2.6*14*50L*4D</t>
  </si>
  <si>
    <t>50622-Ø2.7</t>
  </si>
  <si>
    <t>Ø2.7*120°*13*D4*D6</t>
  </si>
  <si>
    <t>Ø2.55</t>
  </si>
  <si>
    <t>Ø2.1*10*D3*50</t>
  </si>
  <si>
    <t>Ø3.25*20*D4*50</t>
  </si>
  <si>
    <t>Ø4.25*25*D6*50</t>
  </si>
  <si>
    <t>Ø2.6*20*D4*60</t>
  </si>
  <si>
    <t>Ø2.75*20*D4*60</t>
  </si>
  <si>
    <t>Ø2.8*16*50L*4D</t>
  </si>
  <si>
    <t>Ø2.8 462.1-2800-14A0-XM</t>
  </si>
  <si>
    <t>50622-Ø2.9</t>
  </si>
  <si>
    <t>5515-3.000</t>
  </si>
  <si>
    <t>50622-Ø3.0</t>
  </si>
  <si>
    <t>5511-3.000</t>
  </si>
  <si>
    <t>5511-3.200</t>
  </si>
  <si>
    <t>5511-3.300</t>
  </si>
  <si>
    <t>5511-3.500</t>
  </si>
  <si>
    <t>5515-3.500</t>
  </si>
  <si>
    <t>Ø3.55</t>
  </si>
  <si>
    <t>52906-Ø3.70</t>
  </si>
  <si>
    <t>Ø3.9*36*D6*74</t>
  </si>
  <si>
    <t>5511-4.000</t>
  </si>
  <si>
    <t>5514-4.000</t>
  </si>
  <si>
    <t>50840-Ø4</t>
  </si>
  <si>
    <t>麻花钻头D4.03</t>
  </si>
  <si>
    <t>Ø4.2*120°*18*D6*60</t>
  </si>
  <si>
    <t>5511-4.200</t>
  </si>
  <si>
    <t>5511-4.500</t>
  </si>
  <si>
    <t>5514-4.500</t>
  </si>
  <si>
    <t>5511-4.800</t>
  </si>
  <si>
    <t>5511-5.000</t>
  </si>
  <si>
    <t>Ø3.4*20*D6*62</t>
  </si>
  <si>
    <t>Ø3.95*24*D6*66</t>
  </si>
  <si>
    <t>Ø4.15*24*D6*66</t>
  </si>
  <si>
    <t>D3.05*60*100L</t>
  </si>
  <si>
    <t>Ø3.82*118*20*D6*60</t>
  </si>
  <si>
    <t>5511-3.700</t>
  </si>
  <si>
    <t>52906-3.35</t>
  </si>
  <si>
    <t>Ø1.0M*D3</t>
  </si>
  <si>
    <t>Ø1.0M</t>
  </si>
  <si>
    <t>Ø1.2M</t>
  </si>
  <si>
    <t>Ø1.3M</t>
  </si>
  <si>
    <t>Ø1.35M</t>
  </si>
  <si>
    <t>Ø1.4M</t>
  </si>
  <si>
    <t>Ø1.45M</t>
  </si>
  <si>
    <t>Ø1.48M</t>
  </si>
  <si>
    <t>Ø1.49M</t>
  </si>
  <si>
    <t>Ø1.5M</t>
  </si>
  <si>
    <t>Ø1.55M</t>
  </si>
  <si>
    <t>Ø1.6M</t>
  </si>
  <si>
    <t>Ø1.7M</t>
  </si>
  <si>
    <t>Ø1.75M</t>
  </si>
  <si>
    <t>Ø1.8M</t>
  </si>
  <si>
    <t>Ø1.85M</t>
  </si>
  <si>
    <t>Ø1.9M</t>
  </si>
  <si>
    <t>Ø2.0M</t>
  </si>
  <si>
    <t>Ø2.05M</t>
  </si>
  <si>
    <t>Ø2.1M</t>
  </si>
  <si>
    <t>Ø2.2M</t>
  </si>
  <si>
    <t>Ø2.25M</t>
  </si>
  <si>
    <t>Ø2.3M</t>
  </si>
  <si>
    <t>Ø2.35M</t>
  </si>
  <si>
    <t>Ø2.4M</t>
  </si>
  <si>
    <t>Ø2.48M</t>
  </si>
  <si>
    <t>Ø2.5M</t>
  </si>
  <si>
    <t>Ø2.55M</t>
  </si>
  <si>
    <t>Ø0.95*8*D3*38</t>
  </si>
  <si>
    <t>Ø2.52M</t>
  </si>
  <si>
    <t>5515-5.00</t>
  </si>
  <si>
    <t>5511-5.300</t>
  </si>
  <si>
    <t>5511-5.500</t>
  </si>
  <si>
    <t>5511-6.000</t>
  </si>
  <si>
    <t>5514-6.000</t>
  </si>
  <si>
    <t>5511-6.200</t>
  </si>
  <si>
    <t>5511-6.300</t>
  </si>
  <si>
    <t>Ø6.5*53*D8*91</t>
  </si>
  <si>
    <t>5511-6.500</t>
  </si>
  <si>
    <t>5514-6.500</t>
  </si>
  <si>
    <t>460.1-0690-021A1-XMGC34</t>
  </si>
  <si>
    <t>5511-7.000</t>
  </si>
  <si>
    <t>5511-7.500</t>
  </si>
  <si>
    <t>5511-7.200</t>
  </si>
  <si>
    <t>5511-7.900</t>
  </si>
  <si>
    <t>5511-8.000</t>
  </si>
  <si>
    <t>Ø8*120°*35*D8*80</t>
  </si>
  <si>
    <t>5511-8.200</t>
  </si>
  <si>
    <t>5511-8.500</t>
  </si>
  <si>
    <t>5511-8.800</t>
  </si>
  <si>
    <t>Ø8.5*61*D10*103</t>
  </si>
  <si>
    <t>Ø5.18*28*D6*66</t>
  </si>
  <si>
    <t>Ø5.4*28*D6*66</t>
  </si>
  <si>
    <t>Ø6.15*34*D8*79</t>
  </si>
  <si>
    <t>Ø5.4*120*20*D6*60</t>
  </si>
  <si>
    <t>Ø6 L148</t>
  </si>
  <si>
    <t>Ø7*118*53*D8*91</t>
  </si>
  <si>
    <t>5511-9.000</t>
  </si>
  <si>
    <t>5512-9.000</t>
  </si>
  <si>
    <t>5511-10.000</t>
  </si>
  <si>
    <t>Ø10.0*150°*30*D10*80</t>
  </si>
  <si>
    <t>5511-10.700</t>
  </si>
  <si>
    <t>D10.73-150°</t>
  </si>
  <si>
    <t>5511-11.000</t>
  </si>
  <si>
    <t>5511-11.500</t>
  </si>
  <si>
    <t>460.1-1160-0305A1-XM</t>
  </si>
  <si>
    <t>5511-12.000</t>
  </si>
  <si>
    <t>5511-12.500</t>
  </si>
  <si>
    <t>5511-13.000</t>
  </si>
  <si>
    <t>5511-14.000</t>
  </si>
  <si>
    <t>5511-15.000</t>
  </si>
  <si>
    <t>DC180-05-15.000.A1-WJ30EZ</t>
  </si>
  <si>
    <t>5511-9.500</t>
  </si>
  <si>
    <t>Ø11.55 *85*D12*134-DLC</t>
  </si>
  <si>
    <t>Ø10*118°*47*D10*89</t>
  </si>
  <si>
    <t>Ø8.6*30*D10*60(平底钻）</t>
  </si>
  <si>
    <t>Ø10.5*55*D12*102</t>
  </si>
  <si>
    <t>Ø11.6*71*D12*118</t>
  </si>
  <si>
    <t>Ø12.7*60*D14*107</t>
  </si>
  <si>
    <t>Ø15.1*150°*35*D16*80</t>
  </si>
  <si>
    <t>5511-16.000</t>
  </si>
  <si>
    <t>W09.781.00</t>
  </si>
  <si>
    <t>5511-18.000</t>
  </si>
  <si>
    <t>5515-18.000</t>
  </si>
  <si>
    <t>Ø19.0*120°*95*D20*150</t>
  </si>
  <si>
    <t>W11.A15</t>
  </si>
  <si>
    <t>460.1-1400-105A1-XM GC34</t>
  </si>
  <si>
    <t>DC150-08-14.000A1-WJ30TA</t>
  </si>
  <si>
    <t>ADMT10T308R-F56</t>
  </si>
  <si>
    <t>R390-170408E-ML2040</t>
  </si>
  <si>
    <t>APMT160408PDTR</t>
  </si>
  <si>
    <t>APMT1604PDER-Q</t>
  </si>
  <si>
    <t>APKT160404PDFR-MA</t>
  </si>
  <si>
    <t>YW1-41605H</t>
  </si>
  <si>
    <t>APMT1604PDER</t>
  </si>
  <si>
    <t>327R12-28 40002-GMM 1025</t>
  </si>
  <si>
    <t>SDMT06T204-F57WSP45G</t>
  </si>
  <si>
    <t>APMT160408-M4340</t>
  </si>
  <si>
    <t>BCMT090308R-G55 WSP45G</t>
  </si>
  <si>
    <t>R245-12 T3E-ML 2040</t>
  </si>
  <si>
    <t>去毛刺倒角刀YLT-ZT-2-2</t>
  </si>
  <si>
    <t>去毛刺倒角刀YLT-ZT-3-1</t>
  </si>
  <si>
    <t>去毛刺倒角刀YLT-ZT-3-3</t>
  </si>
  <si>
    <t>5322 472-01</t>
  </si>
  <si>
    <t>HMG184010(Ø1*2*50)</t>
  </si>
  <si>
    <t>SHEUE0001(D1-5-12-50-SD4-2T)</t>
  </si>
  <si>
    <t>SHEYU0028(Ø1*6*Ø6*L50)</t>
  </si>
  <si>
    <t>74740(Ø1)</t>
  </si>
  <si>
    <t>HMG172010L(Ø1)</t>
  </si>
  <si>
    <t>8HEYU0001(HMC72112012)</t>
  </si>
  <si>
    <t>8HEYU0002(HMC62115010010)</t>
  </si>
  <si>
    <t xml:space="preserve"> 73300   Ø1.2</t>
  </si>
  <si>
    <t>SHEYU0028(Ø1.2*6*Ø6*L50)</t>
  </si>
  <si>
    <t>SHEUE0002(D1.2*5*12*SD4*2T)</t>
  </si>
  <si>
    <t>8HEYU0003(HMC62120015015)</t>
  </si>
  <si>
    <t>HMG114015L</t>
  </si>
  <si>
    <t>SHEUE0003(D1.5*5*12*50*SD4*2T)</t>
  </si>
  <si>
    <t>HMH184020EV(2*4*50)</t>
  </si>
  <si>
    <t>MC324-01.0A3B-WJ30TF(Ø1*3)</t>
  </si>
  <si>
    <t>MC324-01.5A3B-WJ30TF(Ø1.5*3)</t>
  </si>
  <si>
    <t>MC324-02.0A3B-WJ30TF(Ø2*6)</t>
  </si>
  <si>
    <t>MC230-02.0A4BC-WK40TF(Ø2*7)</t>
  </si>
  <si>
    <t>Ø2*10*D4*50</t>
  </si>
  <si>
    <t>Ø1.2*3*D4*50</t>
  </si>
  <si>
    <t>HMG171014</t>
  </si>
  <si>
    <t>Ø1</t>
  </si>
  <si>
    <t>MG-2E-1.1M</t>
  </si>
  <si>
    <t>MG-2E-1.3M</t>
  </si>
  <si>
    <t>MG-2E-1.4M</t>
  </si>
  <si>
    <t>CSE2-04D0015-30</t>
  </si>
  <si>
    <t>MG-2E-1.8M</t>
  </si>
  <si>
    <t>MG-4E-1.9M</t>
  </si>
  <si>
    <t>HM856S D2.5 Z4 G4</t>
  </si>
  <si>
    <t>HM856S D3 Z4 G4</t>
  </si>
  <si>
    <t>HM856SD3.5Z4G4</t>
  </si>
  <si>
    <t>HM856SD4.Z4</t>
  </si>
  <si>
    <t>MC230-04.0A4BC-WK40TF(Ø4*11)</t>
  </si>
  <si>
    <t>Ø2.4*20*D4*60</t>
  </si>
  <si>
    <t>Ø3*20*D4*60</t>
  </si>
  <si>
    <t>Ø3.2*5*D4*50</t>
  </si>
  <si>
    <t>D2.5*20*4*50*4T</t>
  </si>
  <si>
    <t>3023-3.000</t>
  </si>
  <si>
    <t>6716-2.500</t>
  </si>
  <si>
    <t>Ø3R0.2*9*25*D4*60*4T</t>
  </si>
  <si>
    <t>Ø3R0.2*9*D4*50*4T</t>
  </si>
  <si>
    <t>Ø2.3*10*50*D3*3T</t>
  </si>
  <si>
    <t>MG-2E-2.4M</t>
  </si>
  <si>
    <t>Ø2.5*2T</t>
  </si>
  <si>
    <t>Ø2.8*8*4*50*D4</t>
  </si>
  <si>
    <t>MG-4E-2.6M</t>
  </si>
  <si>
    <t>MG-2E-2.9M</t>
  </si>
  <si>
    <t>MAL-3E-3X100</t>
  </si>
  <si>
    <t>MG-2E-3.4M</t>
  </si>
  <si>
    <t>MG-4E-3.4M</t>
  </si>
  <si>
    <t>MAL-3E-3.7</t>
  </si>
  <si>
    <t>MG-2E-3.8M</t>
  </si>
  <si>
    <t>MG-2E-4*75M</t>
  </si>
  <si>
    <t>Ø4*10*Ø4*50</t>
  </si>
  <si>
    <t>HMH184040EV(4*9*57)</t>
  </si>
  <si>
    <t>F11420H00400011</t>
  </si>
  <si>
    <t>HMC197040(4*16*57)</t>
  </si>
  <si>
    <t>HM856SD4.5Z4G5</t>
  </si>
  <si>
    <t>Ø4.5*13*D5*70</t>
  </si>
  <si>
    <t>Ø4.75*D5</t>
  </si>
  <si>
    <t>HMG113050EV(5.0*13*50)</t>
  </si>
  <si>
    <t>HMG158050 ( 5.0*20*70G.6)</t>
  </si>
  <si>
    <t>HMG123050(5.0*20*62)</t>
  </si>
  <si>
    <t>Ø5.0*30*D5*50</t>
  </si>
  <si>
    <t>HMG113060EV(Ø6.0*13*57)</t>
  </si>
  <si>
    <t>HMG158060(6.0*24*70)</t>
  </si>
  <si>
    <t>HMG123060(6*20*78)</t>
  </si>
  <si>
    <t>HM189D.6Z4CR02</t>
  </si>
  <si>
    <t>HMG113070(7.0*16*60)</t>
  </si>
  <si>
    <t>Ø7*20*D8*60</t>
  </si>
  <si>
    <t>MC122-06.0A4XK-WJ30TF(Ø6.0*35)</t>
  </si>
  <si>
    <t>3023-4.000</t>
  </si>
  <si>
    <t>MG-4E-4.2M</t>
  </si>
  <si>
    <t>MG-2E-4.5*D6*75M</t>
  </si>
  <si>
    <t>CSE2-06D0050-30</t>
  </si>
  <si>
    <t>D5.6*15*50*4T</t>
  </si>
  <si>
    <t xml:space="preserve"> Ø6.0*0.2R</t>
  </si>
  <si>
    <t xml:space="preserve"> Ø6.0</t>
  </si>
  <si>
    <t>Ø6.5</t>
  </si>
  <si>
    <t>MG-2E-6.6M</t>
  </si>
  <si>
    <t>MG-2E-7.2M</t>
  </si>
  <si>
    <t>HMG113080EV05 (8.0*19*63)</t>
  </si>
  <si>
    <t>HMG113080EV (8.0*19*63)</t>
  </si>
  <si>
    <t>HMG123080(8.0*25*78)</t>
  </si>
  <si>
    <t>HM113080(8.0*19*63)</t>
  </si>
  <si>
    <t>GM4E-D10*28*D10*105</t>
  </si>
  <si>
    <t>FRESE ALCRN HM 171 D8 Z4G8</t>
  </si>
  <si>
    <t>HMG113090(Ø9*19*67)</t>
  </si>
  <si>
    <t>HMG113100EV (10*22*72)</t>
  </si>
  <si>
    <t>HMG123100(10.0*28*105)</t>
  </si>
  <si>
    <t>MC416-08.0A4L-WJ30TF</t>
  </si>
  <si>
    <t>Ø9*25*Ø10*75</t>
  </si>
  <si>
    <t>MC122-08.0A4XK-WJ30TF</t>
  </si>
  <si>
    <t>MG-2E-7.4M</t>
  </si>
  <si>
    <t>CSE4-08D0080-30</t>
  </si>
  <si>
    <t>3F-Ø8</t>
  </si>
  <si>
    <t>Ø8*1R</t>
  </si>
  <si>
    <t>HSE-4ELF Ø8*35C</t>
  </si>
  <si>
    <t>CSE4-09D00815-30-SP</t>
  </si>
  <si>
    <t>Ø8.5*30*75</t>
  </si>
  <si>
    <t>MG-2E-9.6M</t>
  </si>
  <si>
    <t>Ø10*2T</t>
  </si>
  <si>
    <t>Ø10*10*25*75</t>
  </si>
  <si>
    <t>SHEUE0013(D7-30-SD8-70)</t>
  </si>
  <si>
    <t>HMG113110EV05(Ø10*22*72CR0.5)</t>
  </si>
  <si>
    <t>HMG1230120(Ø12*32*105)</t>
  </si>
  <si>
    <t>MC251-12.0-A4B-WK40RC</t>
  </si>
  <si>
    <t>F1200-8364750/HM</t>
  </si>
  <si>
    <t>HMG113140EV(Ø14.0*26*83)</t>
  </si>
  <si>
    <t>Ø15*32*D16*80</t>
  </si>
  <si>
    <t>CSE-10D0100-3D</t>
  </si>
  <si>
    <t>Ø10*22*72</t>
  </si>
  <si>
    <t>Ø10*45*95</t>
  </si>
  <si>
    <t>MG-2E-10M</t>
  </si>
  <si>
    <t>CSE2-10D0100-30</t>
  </si>
  <si>
    <t>Ø11-20-70L</t>
  </si>
  <si>
    <t>CLR4-12D0120R0.5L100-30</t>
  </si>
  <si>
    <t>3676-13.000</t>
  </si>
  <si>
    <t>Ø13*26*80*D12</t>
  </si>
  <si>
    <t>Ø13.2*45*Ø14*80*2T</t>
  </si>
  <si>
    <t>3560 A14.0</t>
  </si>
  <si>
    <t>MG-4E-14M</t>
  </si>
  <si>
    <t>03676-15.000</t>
  </si>
  <si>
    <t>Ø15*20*80L</t>
  </si>
  <si>
    <t>EM-D14*40*100-4T</t>
  </si>
  <si>
    <t>Ø15*32*90*D16</t>
  </si>
  <si>
    <t>MC251-16.0-A4B050-WK40RC</t>
  </si>
  <si>
    <t>Ø22*45*100L</t>
  </si>
  <si>
    <t>GM4E-D20R0.5*75*D20*150</t>
  </si>
  <si>
    <t>MC320-12.0W4BC-WK40TF</t>
  </si>
  <si>
    <t>MC320-16.0W4BC-WK40TF</t>
  </si>
  <si>
    <t>MC320-14.0W4BC-WK40TF</t>
  </si>
  <si>
    <t>Ø1.87*8*D3*60</t>
  </si>
  <si>
    <t>Ø1.92*8*D3*60</t>
  </si>
  <si>
    <t>Ø2.04*5*53*D4</t>
  </si>
  <si>
    <t>Ø2.27*8*D3*60</t>
  </si>
  <si>
    <t>Ø2.47*8*D3*60</t>
  </si>
  <si>
    <t>Ø2.5*8*D3*60</t>
  </si>
  <si>
    <t>Ø2.58*8*D3*60</t>
  </si>
  <si>
    <t>Ø2.73*8*D3*60</t>
  </si>
  <si>
    <t>Ø2.8*75*D4</t>
  </si>
  <si>
    <t>Ø2.93*8*D3*60</t>
  </si>
  <si>
    <t>Ø3.03*8*D4*60</t>
  </si>
  <si>
    <t>Ø3.73*8*D4*60</t>
  </si>
  <si>
    <t>Ø4.05*10*D4*75</t>
  </si>
  <si>
    <t>Ø4.5*48*D6</t>
  </si>
  <si>
    <t>Ø4.6*4.5*21*80</t>
  </si>
  <si>
    <t>Ø10*38*133</t>
  </si>
  <si>
    <t>Ø10  H7</t>
  </si>
  <si>
    <t>TC610-M6-W1-WB10RD</t>
  </si>
  <si>
    <t>H08077L20-E128BSPTMVTH</t>
  </si>
  <si>
    <t>TC610-G1/4-W1-WB10RC</t>
  </si>
  <si>
    <t>TC610-M18*1-W0-WJ30RC</t>
  </si>
  <si>
    <t>GFM D12*20*M1Ø11.9S</t>
  </si>
  <si>
    <t>TC610-M14*1-W0-WJ30RC</t>
  </si>
  <si>
    <t>1.88*25*50L*4T</t>
  </si>
  <si>
    <t>M8*1.0-2*Do</t>
  </si>
  <si>
    <t>M12*1.0 6HX HSSPM</t>
  </si>
  <si>
    <t>M12*P1 D10*65*110*4T</t>
  </si>
  <si>
    <t>M18*1.5</t>
  </si>
  <si>
    <t>Ø20*10</t>
  </si>
  <si>
    <t>Ø10*30°*D10*62</t>
  </si>
  <si>
    <t>Ø23.86*35*D25*D20*80L</t>
  </si>
  <si>
    <t>Ø20.05*35*D22*D20*80L</t>
  </si>
  <si>
    <t>TC-D19.8*D13*35*D20*80</t>
  </si>
  <si>
    <t>Ø1.00PV-45023</t>
  </si>
  <si>
    <t>R1.05*4*Ø4.0*50*2T</t>
  </si>
  <si>
    <t>HMH737015R  1.5*4*53</t>
  </si>
  <si>
    <t>ART.74300</t>
  </si>
  <si>
    <t>R1.425*4*Ø4.0*50*2T</t>
  </si>
  <si>
    <t>HMH737030   3.0*7.0*38   G3</t>
  </si>
  <si>
    <t>MAL-2B-R2</t>
  </si>
  <si>
    <t>CAB2-04D0040-30</t>
  </si>
  <si>
    <t>D4R2-12-75-D4</t>
  </si>
  <si>
    <t>133HD4Z4G6R2.0</t>
  </si>
  <si>
    <t>5.0*10*50</t>
  </si>
  <si>
    <t>Ø5.0R2.5*15*D6*75</t>
  </si>
  <si>
    <t>HMG131050  5.0*10*50</t>
  </si>
  <si>
    <t>CAB2-06D0050-30</t>
  </si>
  <si>
    <t>R3*12*D6*50*2F</t>
  </si>
  <si>
    <t>CAB2-06D0060-30</t>
  </si>
  <si>
    <t>R3*D6*50</t>
  </si>
  <si>
    <t>HM737D6Z2RGG</t>
  </si>
  <si>
    <t>D7R3.5*20*D8*75</t>
  </si>
  <si>
    <t>MAL-2B-R3.5</t>
  </si>
  <si>
    <t>CAB2-08D0070-30-SP</t>
  </si>
  <si>
    <t>HMC133060</t>
  </si>
  <si>
    <t>Ø4.75*R2.375*10*D5*50</t>
  </si>
  <si>
    <t>Ø6R3*15*D8*60-2T</t>
  </si>
  <si>
    <t>R0.75*4D*50L*2T</t>
  </si>
  <si>
    <t>50643 030 Ø3 R1.5</t>
  </si>
  <si>
    <t>MAL-2B-R2*100</t>
  </si>
  <si>
    <t>MC416-05.0A2B-WJ30TFØ5*10</t>
  </si>
  <si>
    <t>Ø8.0*16*63Z4R4.0</t>
  </si>
  <si>
    <t>MC416-08.0A4L-WJ30F</t>
  </si>
  <si>
    <t>Ø8.0R4*12*Ø8.0</t>
  </si>
  <si>
    <t>R4.0IBE2080-100</t>
  </si>
  <si>
    <t>D9R4.5*25*D10*75</t>
  </si>
  <si>
    <t>CAB2-08D0080-30</t>
  </si>
  <si>
    <t>R6*70L</t>
  </si>
  <si>
    <t>Ø10*14*70R5</t>
  </si>
  <si>
    <t>MG-2B-R5M</t>
  </si>
  <si>
    <t>HMG747100  10.0*28*105</t>
  </si>
  <si>
    <t>EB2R5TIALN</t>
  </si>
  <si>
    <t>HM131D10Z4G10RGG</t>
  </si>
  <si>
    <t>CAB2-10D0100-30</t>
  </si>
  <si>
    <t>SF2R6.0LIST7524</t>
  </si>
  <si>
    <t>CSB-12D0120-30</t>
  </si>
  <si>
    <t>CAB3-12D0120-30</t>
  </si>
  <si>
    <t>MM12-12015-B90A30-M04</t>
  </si>
  <si>
    <t>Ø12R6*25*100</t>
  </si>
  <si>
    <t>MG-2B-R6M</t>
  </si>
  <si>
    <t>R4.5*D9*65</t>
  </si>
  <si>
    <t>D9*R4.5*18*D10*75</t>
  </si>
  <si>
    <t>MAL-2B-R5*100</t>
  </si>
  <si>
    <t>D13R6.5*30*D13*100</t>
  </si>
  <si>
    <t>MG-2B-R6.5M</t>
  </si>
  <si>
    <t>R7.5</t>
  </si>
  <si>
    <t>Ø15R7.5*45*D16*90</t>
  </si>
  <si>
    <t>R7.75*30*Ø16*70</t>
  </si>
  <si>
    <t>D15R7.5*30*D16*100</t>
  </si>
  <si>
    <t>HMC737160 16.0*26*92</t>
  </si>
  <si>
    <t>HM866SD16Z4G16R8</t>
  </si>
  <si>
    <t>R8:2B360-1600-GC PG025</t>
  </si>
  <si>
    <t>6707.16.0</t>
  </si>
  <si>
    <t>3727.18.0</t>
  </si>
  <si>
    <t>D18R9.0*30*D18*100</t>
  </si>
  <si>
    <t>HMG737130   D13</t>
  </si>
  <si>
    <t>54  700  162(A20*1.00.Z40)</t>
  </si>
  <si>
    <t>Ø30*0.4*8*64T*C0.2</t>
  </si>
  <si>
    <t>65023.00.00088(Ø30*3*Ø8)</t>
  </si>
  <si>
    <t>65023.00.00090(Ø30*4*Ø8)</t>
  </si>
  <si>
    <t>54 700 305(A40*0.35.Z100)</t>
  </si>
  <si>
    <t>Ø40*0.4*5*64T*C0.2</t>
  </si>
  <si>
    <t>Ø40*0.5*10*64T*C0.2</t>
  </si>
  <si>
    <t>Ø40*0.7*D10*64T*C0.2</t>
  </si>
  <si>
    <t>Ø40*0.8*D10*64T*C0.2</t>
  </si>
  <si>
    <t>Ø40*0.8*D5*64T*C0.2</t>
  </si>
  <si>
    <t>Ø40*0.9*D10*64T*C0.2</t>
  </si>
  <si>
    <t>Ø40*1.0*D10*64T*C0.2</t>
  </si>
  <si>
    <t>Ø40*1.5*D10*64T*C0.3</t>
  </si>
  <si>
    <t>Ø40*2.0*D16*64T*C0.2</t>
  </si>
  <si>
    <t>Ø40*1.5*D10*64T*C0.3(哈氏合金）</t>
  </si>
  <si>
    <t>Ø63*1.5*Ø16*72T*C0.3(哈氏合金）</t>
  </si>
  <si>
    <t>Ø40*0.8*11*5*64T*C0.2</t>
  </si>
  <si>
    <t>Ø50*2.5*16*72T</t>
  </si>
  <si>
    <t>014</t>
  </si>
  <si>
    <t>Ø63*0.8*16*72T*C0.2</t>
  </si>
  <si>
    <t>Ø63*1.0*16*72T*C0.2</t>
  </si>
  <si>
    <t>Ø63*1.3*16*72T*C0.3</t>
  </si>
  <si>
    <t>Ø63*1.5*16*72T*C0.3</t>
  </si>
  <si>
    <t>Ø63*1.7*16*72T*C0.3</t>
  </si>
  <si>
    <t>Ø63*2.0*16*72T*C0.3</t>
  </si>
  <si>
    <t>Ø63*2.5*16*72T*C0.5</t>
  </si>
  <si>
    <t>Ø80*1.5*22*80T*C0.3</t>
  </si>
  <si>
    <t>Ø80*1.7*22*80T*C0.3</t>
  </si>
  <si>
    <t>Ø80*2.0*22*80T*C0.3</t>
  </si>
  <si>
    <t>Ø80*2.5*22*80T*C0.5</t>
  </si>
  <si>
    <t>65013.00.00144(Ø63*0.6*Ø16)</t>
  </si>
  <si>
    <t>D63*2.4*3*D22*60T</t>
  </si>
  <si>
    <t>D63*2.55*3*D22*60T</t>
  </si>
  <si>
    <t>D63*2.6*3*D22*60T</t>
  </si>
  <si>
    <t>40*120°</t>
  </si>
  <si>
    <t>D1.47</t>
  </si>
  <si>
    <t>SDMT09T308-F57</t>
  </si>
  <si>
    <t>WBGT030102L-JS SH730</t>
  </si>
  <si>
    <t>31R14W VRX</t>
  </si>
  <si>
    <t xml:space="preserve">842S D4  Z4 </t>
    <phoneticPr fontId="9" type="noConversion"/>
  </si>
  <si>
    <t>03</t>
    <phoneticPr fontId="9" type="noConversion"/>
  </si>
  <si>
    <t>VCGT 160402-MM4 WSM20S</t>
  </si>
  <si>
    <t>VBMT 160404-MM4 WSM20S</t>
  </si>
  <si>
    <t>VNMG160402-FM5 WSM10S</t>
  </si>
  <si>
    <t>VNMG 160404-MS3 WSM10S</t>
  </si>
  <si>
    <t>VNMG 160404-HL8-HS</t>
  </si>
  <si>
    <t>VCGT 160402-AK</t>
  </si>
  <si>
    <t>VCGT 160404-MN2 WN10</t>
  </si>
  <si>
    <t>VCGT 160402-FN2 WNN10</t>
  </si>
  <si>
    <t>VBMT160404-FM6  WSM01</t>
  </si>
  <si>
    <t>WL25-VC0702R-FM4 WSM10S</t>
  </si>
  <si>
    <t>DCMT11T308-MM  1105</t>
  </si>
  <si>
    <t>CNMG120408-NR4 WSM20</t>
  </si>
  <si>
    <t>CNMG120108-MM2220</t>
  </si>
  <si>
    <t>5322-270-01</t>
  </si>
  <si>
    <t>AP315-DC1108</t>
  </si>
  <si>
    <t>AP301-CN12</t>
  </si>
  <si>
    <t>AP312-VN16</t>
  </si>
  <si>
    <t>外圆刀垫刀片程泰</t>
  </si>
  <si>
    <t>CNMG120412-NRS  WSM30S</t>
  </si>
  <si>
    <t>GX34-2E300N03-CF5 WSM33S</t>
  </si>
  <si>
    <t>GX24-2E300R6-CE4 WSM33S</t>
  </si>
  <si>
    <t>GX24-2E300N15-RD4 WSM33S</t>
  </si>
  <si>
    <t>GX24-2E300N02-CE4 WSM23S</t>
  </si>
  <si>
    <t>DX18-3E300N02-CE4 WSM33S</t>
  </si>
  <si>
    <t>GEPI 1.78-0.15 IC908</t>
  </si>
  <si>
    <t>MGMN250-G</t>
  </si>
  <si>
    <t>MGMN200-M PC9030</t>
  </si>
  <si>
    <t>DX18-1E150N01-CK8 WN13</t>
  </si>
  <si>
    <t>QD-NG-0300-0003-CR 1125</t>
  </si>
  <si>
    <t>R114.1430.15 TN35</t>
  </si>
  <si>
    <t>MB-11FA300-02-16R 1025</t>
  </si>
  <si>
    <t>TCF18L250F-005 SH725</t>
  </si>
  <si>
    <t>GX24-3E400N02-CFS WSM23S</t>
  </si>
  <si>
    <t>GX24-1E200N02-CF5 WSM33S</t>
  </si>
  <si>
    <t>3ER0.75 ISO</t>
  </si>
  <si>
    <t>3ER1.0 ISO</t>
  </si>
  <si>
    <t>3ER1.5 ISO</t>
  </si>
  <si>
    <t>3ER2.0 ISO</t>
  </si>
  <si>
    <t>3ER6RD VTX</t>
  </si>
  <si>
    <t>3ER14NPT VTX</t>
  </si>
  <si>
    <t>3ER1.0 ISO VTX</t>
  </si>
  <si>
    <t>3ER1.25 ISO VTX</t>
  </si>
  <si>
    <t>3ER1.5 ISO VK2</t>
  </si>
  <si>
    <t>3ER2.5 ISO VTX</t>
  </si>
  <si>
    <t>11.5NPT VTX</t>
  </si>
  <si>
    <t>18NPT VTX</t>
  </si>
  <si>
    <t>14BSPT VTX</t>
  </si>
  <si>
    <t>3ER12W VTX</t>
  </si>
  <si>
    <t>3ER19W VTX</t>
  </si>
  <si>
    <t>3ER28W VTX</t>
  </si>
  <si>
    <t>MMT22IR400TR VP10MF</t>
  </si>
  <si>
    <t>3ER1.0ISO VRX</t>
  </si>
  <si>
    <t>Y13-1NVTX</t>
  </si>
  <si>
    <t>YI3</t>
  </si>
  <si>
    <t>YE3-1N</t>
  </si>
  <si>
    <t>3ER 18UN VTX</t>
  </si>
  <si>
    <t>3ER 16UN VTX</t>
  </si>
  <si>
    <t>266RG-16NT01A180M 1135</t>
  </si>
  <si>
    <t>266RG-16WH01A190M 1125*55BSW-19EXTR</t>
  </si>
  <si>
    <t>266RG-16WH01A110M 1135*55BSW-11EXTR</t>
  </si>
  <si>
    <t>5322 391-11</t>
  </si>
  <si>
    <t>3EL 2.0ISO VTX</t>
  </si>
  <si>
    <t>266RG-16NT01A080M 1135</t>
  </si>
  <si>
    <t>266RG-16PT01A280E 1135</t>
  </si>
  <si>
    <t>266RG-16PT01A190E  1135</t>
  </si>
  <si>
    <t>266RG-16PT01A140E  1135</t>
  </si>
  <si>
    <t>266RG-16PT01A110E  1135</t>
  </si>
  <si>
    <t>DS20-0205-C-L5  1344</t>
  </si>
  <si>
    <t>DS20-0205-P-L5W  4344</t>
  </si>
  <si>
    <t>880-01 02 03H-C-LM 1144</t>
  </si>
  <si>
    <t>AP305-DN11</t>
  </si>
  <si>
    <t>D3*3.5*SD8*60L</t>
  </si>
  <si>
    <t>D10-20-60-SD10-Z2</t>
  </si>
  <si>
    <t>柜子一&amp;"特殊钻头"</t>
  </si>
  <si>
    <t>D1.1*10*60L*SD3</t>
  </si>
  <si>
    <t>柜子二&amp;"钻头"</t>
  </si>
  <si>
    <t>柜子三&amp;"刀片柜"</t>
  </si>
  <si>
    <t>柜子五&amp;"铣削柜"</t>
  </si>
  <si>
    <t>DNMG110404-MM5 WSM20S</t>
  </si>
  <si>
    <t>R390-11T304E-PL1230</t>
  </si>
  <si>
    <t>R390-11T308E-PL1230</t>
  </si>
  <si>
    <t>VCW118L05.0A45-02</t>
  </si>
  <si>
    <t>刀具品牌</t>
  </si>
  <si>
    <t>SAP 号</t>
    <phoneticPr fontId="4" type="noConversion"/>
  </si>
  <si>
    <t>单价</t>
    <phoneticPr fontId="4" type="noConversion"/>
  </si>
  <si>
    <t>3EL 1.5ISO VTX</t>
  </si>
  <si>
    <t>瓦尔特</t>
  </si>
  <si>
    <t>赛迈克斯</t>
    <phoneticPr fontId="4" type="noConversion"/>
  </si>
  <si>
    <t>聚仁</t>
    <phoneticPr fontId="4" type="noConversion"/>
  </si>
  <si>
    <t>N/A</t>
    <phoneticPr fontId="4" type="noConversion"/>
  </si>
  <si>
    <t>瓦尔特</t>
    <phoneticPr fontId="4" type="noConversion"/>
  </si>
  <si>
    <t>山特维克</t>
    <phoneticPr fontId="4" type="noConversion"/>
  </si>
  <si>
    <t>斯芬克斯</t>
    <phoneticPr fontId="4" type="noConversion"/>
  </si>
  <si>
    <t>钴领</t>
    <phoneticPr fontId="4" type="noConversion"/>
  </si>
  <si>
    <t>泰克洛</t>
    <phoneticPr fontId="4" type="noConversion"/>
  </si>
  <si>
    <t>阿诺</t>
    <phoneticPr fontId="4" type="noConversion"/>
  </si>
  <si>
    <t>不二越</t>
    <phoneticPr fontId="4" type="noConversion"/>
  </si>
  <si>
    <t>不二‘越</t>
    <phoneticPr fontId="4" type="noConversion"/>
  </si>
  <si>
    <t>钴领</t>
  </si>
  <si>
    <t>伊斯卡</t>
    <phoneticPr fontId="4" type="noConversion"/>
  </si>
  <si>
    <t>霍恩</t>
    <phoneticPr fontId="4" type="noConversion"/>
  </si>
  <si>
    <t>泰克诺</t>
    <phoneticPr fontId="4" type="noConversion"/>
  </si>
  <si>
    <t>瓦格斯</t>
    <phoneticPr fontId="4" type="noConversion"/>
  </si>
  <si>
    <t>中科金钻</t>
    <phoneticPr fontId="4" type="noConversion"/>
  </si>
  <si>
    <t>DENITOOL</t>
    <phoneticPr fontId="4" type="noConversion"/>
  </si>
  <si>
    <t>三菱</t>
    <phoneticPr fontId="4" type="noConversion"/>
  </si>
  <si>
    <t>Nurbeetle</t>
    <phoneticPr fontId="4" type="noConversion"/>
  </si>
  <si>
    <t>Dummel</t>
    <phoneticPr fontId="4" type="noConversion"/>
  </si>
  <si>
    <t>京瓷</t>
    <phoneticPr fontId="4" type="noConversion"/>
  </si>
  <si>
    <t>克洛伊</t>
  </si>
  <si>
    <t>京瓷</t>
  </si>
  <si>
    <t>森拉天时</t>
  </si>
  <si>
    <t>泰珂洛</t>
  </si>
  <si>
    <t>三菱</t>
  </si>
  <si>
    <t>瓦格斯</t>
  </si>
  <si>
    <t>山特维克</t>
  </si>
  <si>
    <t>诺比特</t>
  </si>
  <si>
    <t>赛麦克斯</t>
  </si>
  <si>
    <t>斯芬克斯</t>
  </si>
  <si>
    <t>聚仁</t>
  </si>
  <si>
    <t>阿诺</t>
  </si>
  <si>
    <t>台湾虹钜</t>
  </si>
  <si>
    <t>山高刀具</t>
  </si>
  <si>
    <t>巨人</t>
  </si>
  <si>
    <t>D3.7*9*R2*D7.7*D8*62</t>
  </si>
  <si>
    <t>N/A</t>
  </si>
  <si>
    <t>森拉天时</t>
    <phoneticPr fontId="4" type="noConversion"/>
  </si>
  <si>
    <t>格洛尔</t>
    <phoneticPr fontId="4" type="noConversion"/>
  </si>
  <si>
    <t>合金工具</t>
    <phoneticPr fontId="4" type="noConversion"/>
  </si>
  <si>
    <t>Ø5.7*90°(Adapter用）</t>
  </si>
  <si>
    <t>51609-0225</t>
  </si>
  <si>
    <t>DCMT070204-FM4 WSM20S</t>
  </si>
  <si>
    <t>R050.15-12IK</t>
  </si>
  <si>
    <t>GX24-3E400N20-RD4 WSM33S</t>
  </si>
  <si>
    <t>DCMT11T304-MM4 WSM20S</t>
  </si>
  <si>
    <t>DCMT11T308-MM4 WSM20S</t>
  </si>
  <si>
    <t>880-050305H-C-LM 1144</t>
  </si>
  <si>
    <t>SPMT050203-DS PC9530</t>
  </si>
  <si>
    <t>XCNT040104ER CTPP430</t>
  </si>
  <si>
    <t>SONT031804ERM30 CTPP430</t>
  </si>
  <si>
    <t>DCMT070202-FM4 WSM10S</t>
  </si>
  <si>
    <t>VCGT070202FN 18MDX32</t>
  </si>
  <si>
    <t>VCGT080202R-F HTi10</t>
  </si>
  <si>
    <t>VCGT070204FN 18MDX32</t>
  </si>
  <si>
    <t>CCMT120408-E47 WSM20S</t>
  </si>
  <si>
    <t>GX09-1E239N12-RF8 WSM23S</t>
  </si>
  <si>
    <t>QI-NG-0300-RM  1125</t>
  </si>
  <si>
    <t>R114.1230.6.15 TN35</t>
  </si>
  <si>
    <t>3ER 10W  VTX</t>
  </si>
  <si>
    <t>3ER 8NPT VTX</t>
  </si>
  <si>
    <t>266RG-16MM01A250M 1135</t>
  </si>
  <si>
    <t>266RG-16WH01F140E 1135</t>
  </si>
  <si>
    <t>266RG-16NT01A140M 1135</t>
  </si>
  <si>
    <t>266RG-16NT01F115E 1135</t>
  </si>
  <si>
    <t>266RG-16WH01F190E 1135</t>
  </si>
  <si>
    <t>266RG-16WH01A280M 1135</t>
  </si>
  <si>
    <t>266RG-16MM01F150E 1135</t>
  </si>
  <si>
    <t>266RG-16MM01F200E 1135</t>
  </si>
  <si>
    <t>266RG-16MM01F100E 1135</t>
  </si>
  <si>
    <t>266RG-16WH01F110E 1135</t>
  </si>
  <si>
    <t>266RG-16MM01A125M 1135</t>
  </si>
  <si>
    <t>266RG-16MM01A175M 1135</t>
  </si>
  <si>
    <t>4.0KIL 1.0ISO VTX</t>
  </si>
  <si>
    <t>DCGT11T308-FN2 WN10</t>
  </si>
  <si>
    <t>D1.2*R11*SD6*50</t>
  </si>
  <si>
    <t>M772BCR20L25RVBX</t>
  </si>
  <si>
    <t>品牌</t>
  </si>
  <si>
    <t>SDMT06T204-F57 WSP45G</t>
  </si>
  <si>
    <t>WL25-VC0704N-FM4 WSM01</t>
  </si>
  <si>
    <t>WL25-VC0708N-MM4 WSM20S</t>
  </si>
  <si>
    <t>QI-NG-0300-0003-TF  1135</t>
  </si>
  <si>
    <t>DCMT11T308-MM 1105</t>
  </si>
  <si>
    <t>DNMG110408-MM5 WSM20S</t>
  </si>
  <si>
    <t>R166.OL-11MM01-100 1020</t>
  </si>
  <si>
    <t>R166.OL-11WH01-140  1020</t>
  </si>
  <si>
    <t>R166.OL-11MM01-150 1020</t>
  </si>
  <si>
    <t xml:space="preserve">R166.OL-11WH01-190 1020 </t>
  </si>
  <si>
    <t>R166.OL-11MM01-200 1020</t>
  </si>
  <si>
    <t>266RL-16NT01F140E 1135</t>
  </si>
  <si>
    <t>266RL-16MM01A100M 1135</t>
  </si>
  <si>
    <t>266RL-16WH01F110E 1135</t>
  </si>
  <si>
    <t>266RL-16NT01F115E 1135</t>
  </si>
  <si>
    <t>266RL-16MM01A125M 1135</t>
  </si>
  <si>
    <t>266RL-16MM01F150E 1135</t>
  </si>
  <si>
    <t>266RL-16WH01A190M 1135</t>
  </si>
  <si>
    <t>266RL-16MM01F200E 1135</t>
  </si>
  <si>
    <t>266RL-16MM01A250M 1135</t>
  </si>
  <si>
    <t>266RL-16WH01F140E 1135</t>
  </si>
  <si>
    <t>M662CBLFR20L30RC VTX</t>
  </si>
  <si>
    <t>M552BCR20L10RVBX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</si>
</sst>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Aptos Narrow"/>
      <charset val="134"/>
      <scheme val="minor"/>
    </font>
    <font>
      <b/>
      <sz val="11"/>
      <color theme="1"/>
      <name val="Aptos Narrow"/>
      <scheme val="minor"/>
    </font>
    <font>
      <sz val="14"/>
      <color theme="1"/>
      <name val="Aptos Narrow"/>
      <scheme val="minor"/>
    </font>
    <font>
      <b/>
      <sz val="14"/>
      <color theme="1"/>
      <name val="Aptos Narrow"/>
      <scheme val="minor"/>
    </font>
    <font>
      <sz val="9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9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FF0000"/>
      <name val="Aptos Narrow"/>
      <scheme val="minor"/>
    </font>
    <font>
      <b/>
      <sz val="11"/>
      <color theme="1"/>
      <name val="Aptos Narrow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3" tint="0.89996032593768116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0" fillId="2" borderId="0" xfId="0" applyFill="1"/>
    <xf numFmtId="0" fontId="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4" borderId="0" xfId="0" quotePrefix="1" applyFont="1" applyFill="1" applyAlignment="1">
      <alignment horizontal="center" vertical="center"/>
    </xf>
    <xf numFmtId="0" fontId="1" fillId="5" borderId="0" xfId="0" quotePrefix="1" applyFont="1" applyFill="1" applyAlignment="1">
      <alignment horizontal="center" vertical="center"/>
    </xf>
    <xf numFmtId="0" fontId="1" fillId="6" borderId="0" xfId="0" quotePrefix="1" applyFont="1" applyFill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0" fontId="5" fillId="4" borderId="0" xfId="0" quotePrefix="1" applyFont="1" applyFill="1" applyAlignment="1">
      <alignment horizontal="center" vertical="center"/>
    </xf>
    <xf numFmtId="0" fontId="5" fillId="5" borderId="0" xfId="0" quotePrefix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" xfId="0" applyBorder="1"/>
    <xf numFmtId="0" fontId="5" fillId="6" borderId="0" xfId="0" quotePrefix="1" applyFont="1" applyFill="1" applyAlignment="1">
      <alignment horizontal="center" vertical="center"/>
    </xf>
    <xf numFmtId="0" fontId="0" fillId="7" borderId="1" xfId="0" applyFill="1" applyBorder="1"/>
    <xf numFmtId="0" fontId="0" fillId="2" borderId="1" xfId="0" applyFill="1" applyBorder="1"/>
    <xf numFmtId="0" fontId="7" fillId="0" borderId="0" xfId="0" applyFont="1"/>
    <xf numFmtId="0" fontId="0" fillId="0" borderId="0" xfId="0" applyAlignment="1">
      <alignment horizontal="center"/>
    </xf>
    <xf numFmtId="0" fontId="8" fillId="0" borderId="1" xfId="0" applyFont="1" applyBorder="1"/>
    <xf numFmtId="0" fontId="0" fillId="7" borderId="0" xfId="0" applyFill="1"/>
    <xf numFmtId="0" fontId="5" fillId="0" borderId="0" xfId="0" applyFont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12" fillId="0" borderId="0" xfId="0" applyFont="1" applyAlignment="1">
      <alignment horizontal="center" vertical="center"/>
    </xf>
    <xf numFmtId="0" fontId="0" fillId="8" borderId="0" xfId="0" applyFill="1"/>
    <xf numFmtId="0" fontId="1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left"/>
    </xf>
    <xf numFmtId="0" fontId="0" fillId="7" borderId="2" xfId="0" applyFill="1" applyBorder="1"/>
    <xf numFmtId="0" fontId="5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8" fillId="0" borderId="2" xfId="0" applyFont="1" applyBorder="1"/>
    <xf numFmtId="49" fontId="0" fillId="0" borderId="2" xfId="0" applyNumberFormat="1" applyBorder="1"/>
    <xf numFmtId="0" fontId="0" fillId="2" borderId="2" xfId="0" applyFill="1" applyBorder="1" applyAlignment="1">
      <alignment horizontal="left"/>
    </xf>
    <xf numFmtId="49" fontId="0" fillId="7" borderId="2" xfId="0" applyNumberFormat="1" applyFill="1" applyBorder="1"/>
    <xf numFmtId="0" fontId="0" fillId="7" borderId="2" xfId="0" applyFill="1" applyBorder="1" applyAlignment="1">
      <alignment horizontal="left"/>
    </xf>
    <xf numFmtId="0" fontId="11" fillId="0" borderId="1" xfId="0" applyFont="1" applyBorder="1" applyAlignment="1">
      <alignment horizontal="center" vertical="center"/>
    </xf>
    <xf numFmtId="0" fontId="0" fillId="8" borderId="2" xfId="0" applyFill="1" applyBorder="1"/>
    <xf numFmtId="0" fontId="0" fillId="2" borderId="2" xfId="0" applyFill="1" applyBorder="1"/>
    <xf numFmtId="0" fontId="5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5" fillId="0" borderId="2" xfId="0" applyFont="1" applyBorder="1"/>
    <xf numFmtId="0" fontId="0" fillId="7" borderId="3" xfId="0" applyFill="1" applyBorder="1"/>
    <xf numFmtId="0" fontId="0" fillId="0" borderId="3" xfId="0" applyBorder="1"/>
    <xf numFmtId="0" fontId="5" fillId="7" borderId="3" xfId="0" quotePrefix="1" applyFont="1" applyFill="1" applyBorder="1"/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9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1D45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30"/>
  <sheetViews>
    <sheetView workbookViewId="0">
      <pane ySplit="1" topLeftCell="A245" activePane="bottomLeft" state="frozen"/>
      <selection pane="bottomLeft" activeCell="A279" sqref="A279:XFD279"/>
    </sheetView>
  </sheetViews>
  <sheetFormatPr defaultColWidth="9" defaultRowHeight="18"/>
  <cols>
    <col min="3" max="3" width="12" customWidth="1"/>
    <col min="5" max="5" width="17.75" style="2" customWidth="1"/>
    <col min="6" max="6" width="14.5" customWidth="1"/>
    <col min="7" max="7" width="16.125" customWidth="1"/>
    <col min="8" max="8" width="23.875" customWidth="1"/>
    <col min="9" max="9" width="13.625" customWidth="1"/>
    <col min="10" max="10" width="27.75" customWidth="1"/>
    <col min="11" max="11" width="8.125" style="17" customWidth="1"/>
    <col min="12" max="12" width="16.25" style="17" customWidth="1"/>
    <col min="13" max="13" width="12.75" style="23" customWidth="1"/>
    <col min="14" max="14" width="12.375" style="17" customWidth="1"/>
    <col min="15" max="15" width="20.375" style="58" customWidth="1"/>
    <col min="16" max="16" width="9" style="34"/>
    <col min="17" max="17" width="9" style="20"/>
    <col min="18" max="49" width="9" style="3"/>
  </cols>
  <sheetData>
    <row r="1" spans="1:49" s="1" customFormat="1" ht="28.5" customHeight="1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59" t="s">
        <v>1228</v>
      </c>
      <c r="P1" s="59" t="s">
        <v>1229</v>
      </c>
      <c r="Q1" s="59" t="s">
        <v>1230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</row>
    <row r="2" spans="1:49" s="1" customFormat="1" ht="15.95" customHeight="1">
      <c r="A2" s="8" t="s">
        <v>14</v>
      </c>
      <c r="B2" s="9" t="s">
        <v>14</v>
      </c>
      <c r="C2" s="10" t="s">
        <v>14</v>
      </c>
      <c r="D2" s="8" t="s">
        <v>14</v>
      </c>
      <c r="E2" s="7" t="str">
        <f t="shared" ref="E2:E69" si="0">A2&amp;B2&amp;C2&amp;D2</f>
        <v>01010101</v>
      </c>
      <c r="F2" s="1" t="s">
        <v>1219</v>
      </c>
      <c r="G2" s="1" t="str">
        <f>"抽屉"&amp;B2&amp;"定心钻"</f>
        <v>抽屉01定心钻</v>
      </c>
      <c r="H2" t="str">
        <f t="shared" ref="H2:H69" si="1">"行号"&amp;C2</f>
        <v>行号01</v>
      </c>
      <c r="I2" s="1" t="str">
        <f t="shared" ref="I2:I69" si="2">"序号"&amp;D2</f>
        <v>序号01</v>
      </c>
      <c r="J2" s="43" t="s">
        <v>1144</v>
      </c>
      <c r="K2" s="39">
        <v>0</v>
      </c>
      <c r="L2" s="39">
        <v>10</v>
      </c>
      <c r="M2" s="48"/>
      <c r="N2" s="40"/>
      <c r="O2" s="32" t="s">
        <v>1233</v>
      </c>
      <c r="P2" s="31">
        <v>967345</v>
      </c>
      <c r="Q2" s="31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</row>
    <row r="3" spans="1:49" ht="15.95" customHeight="1">
      <c r="A3" s="8" t="s">
        <v>14</v>
      </c>
      <c r="B3" s="9" t="s">
        <v>14</v>
      </c>
      <c r="C3" s="10" t="s">
        <v>14</v>
      </c>
      <c r="D3" s="8" t="s">
        <v>16</v>
      </c>
      <c r="E3" s="7" t="str">
        <f t="shared" si="0"/>
        <v>01010102</v>
      </c>
      <c r="F3" s="1" t="s">
        <v>1219</v>
      </c>
      <c r="G3" s="1" t="str">
        <f>"抽屉"&amp;B3&amp;"定心钻"</f>
        <v>抽屉01定心钻</v>
      </c>
      <c r="H3" t="str">
        <f t="shared" si="1"/>
        <v>行号01</v>
      </c>
      <c r="I3" s="1" t="str">
        <f t="shared" si="2"/>
        <v>序号02</v>
      </c>
      <c r="J3" s="44" t="s">
        <v>436</v>
      </c>
      <c r="K3" s="39">
        <v>0</v>
      </c>
      <c r="L3" s="39">
        <v>5</v>
      </c>
      <c r="M3" s="33"/>
      <c r="N3" s="39"/>
      <c r="O3" s="57" t="s">
        <v>1234</v>
      </c>
    </row>
    <row r="4" spans="1:49" ht="15.95" customHeight="1">
      <c r="A4" s="8" t="s">
        <v>14</v>
      </c>
      <c r="B4" s="9" t="s">
        <v>14</v>
      </c>
      <c r="C4" s="10" t="s">
        <v>14</v>
      </c>
      <c r="D4" s="8" t="s">
        <v>18</v>
      </c>
      <c r="E4" s="7" t="str">
        <f t="shared" si="0"/>
        <v>01010103</v>
      </c>
      <c r="F4" s="1" t="s">
        <v>1219</v>
      </c>
      <c r="G4" s="1" t="str">
        <f t="shared" ref="G4:G32" si="3">"抽屉"&amp;B4&amp;"定心钻"</f>
        <v>抽屉01定心钻</v>
      </c>
      <c r="H4" t="str">
        <f t="shared" si="1"/>
        <v>行号01</v>
      </c>
      <c r="I4" s="1" t="str">
        <f t="shared" si="2"/>
        <v>序号03</v>
      </c>
      <c r="J4" s="36" t="s">
        <v>437</v>
      </c>
      <c r="K4" s="39">
        <v>0</v>
      </c>
      <c r="L4" s="39">
        <v>5</v>
      </c>
      <c r="M4" s="48"/>
      <c r="N4" s="48"/>
      <c r="O4" s="32" t="s">
        <v>1233</v>
      </c>
    </row>
    <row r="5" spans="1:49" ht="15.95" customHeight="1">
      <c r="A5" s="8" t="s">
        <v>14</v>
      </c>
      <c r="B5" s="9" t="s">
        <v>14</v>
      </c>
      <c r="C5" s="10" t="s">
        <v>14</v>
      </c>
      <c r="D5" s="8" t="s">
        <v>20</v>
      </c>
      <c r="E5" s="7" t="str">
        <f t="shared" si="0"/>
        <v>01010104</v>
      </c>
      <c r="F5" s="1" t="s">
        <v>1219</v>
      </c>
      <c r="G5" s="1" t="str">
        <f t="shared" si="3"/>
        <v>抽屉01定心钻</v>
      </c>
      <c r="H5" t="str">
        <f t="shared" si="1"/>
        <v>行号01</v>
      </c>
      <c r="I5" s="1" t="str">
        <f t="shared" si="2"/>
        <v>序号04</v>
      </c>
      <c r="J5" s="36" t="s">
        <v>438</v>
      </c>
      <c r="K5" s="39">
        <v>0</v>
      </c>
      <c r="L5" s="39">
        <v>5</v>
      </c>
      <c r="M5" s="48"/>
      <c r="N5" s="48"/>
      <c r="O5" s="32" t="s">
        <v>1233</v>
      </c>
    </row>
    <row r="6" spans="1:49" ht="15.95" customHeight="1">
      <c r="A6" s="8" t="s">
        <v>14</v>
      </c>
      <c r="B6" s="9" t="s">
        <v>14</v>
      </c>
      <c r="C6" s="10" t="s">
        <v>14</v>
      </c>
      <c r="D6" s="8" t="s">
        <v>22</v>
      </c>
      <c r="E6" s="7" t="str">
        <f t="shared" si="0"/>
        <v>01010105</v>
      </c>
      <c r="F6" s="1" t="s">
        <v>1219</v>
      </c>
      <c r="G6" s="1" t="str">
        <f t="shared" si="3"/>
        <v>抽屉01定心钻</v>
      </c>
      <c r="H6" t="str">
        <f t="shared" si="1"/>
        <v>行号01</v>
      </c>
      <c r="I6" s="1" t="str">
        <f t="shared" si="2"/>
        <v>序号05</v>
      </c>
      <c r="J6" s="36" t="s">
        <v>439</v>
      </c>
      <c r="K6" s="39">
        <v>0</v>
      </c>
      <c r="L6" s="39">
        <v>5</v>
      </c>
      <c r="M6" s="48"/>
      <c r="N6" s="48"/>
      <c r="O6" s="57" t="s">
        <v>1234</v>
      </c>
      <c r="P6" s="34">
        <v>969121</v>
      </c>
    </row>
    <row r="7" spans="1:49" ht="15.95" customHeight="1">
      <c r="A7" s="8" t="s">
        <v>14</v>
      </c>
      <c r="B7" s="9" t="s">
        <v>14</v>
      </c>
      <c r="C7" s="10" t="s">
        <v>14</v>
      </c>
      <c r="D7" s="8" t="s">
        <v>24</v>
      </c>
      <c r="E7" s="7" t="str">
        <f t="shared" si="0"/>
        <v>01010106</v>
      </c>
      <c r="F7" s="1" t="s">
        <v>1219</v>
      </c>
      <c r="G7" s="1" t="str">
        <f t="shared" si="3"/>
        <v>抽屉01定心钻</v>
      </c>
      <c r="H7" t="str">
        <f t="shared" si="1"/>
        <v>行号01</v>
      </c>
      <c r="I7" s="1" t="str">
        <f t="shared" si="2"/>
        <v>序号06</v>
      </c>
      <c r="J7" s="36" t="s">
        <v>440</v>
      </c>
      <c r="K7" s="39">
        <v>0</v>
      </c>
      <c r="L7" s="39">
        <v>5</v>
      </c>
      <c r="M7" s="33"/>
      <c r="N7" s="39"/>
      <c r="O7" s="32" t="s">
        <v>1233</v>
      </c>
      <c r="P7" s="34">
        <v>980860</v>
      </c>
    </row>
    <row r="8" spans="1:49" ht="15.95" customHeight="1">
      <c r="A8" s="8" t="s">
        <v>14</v>
      </c>
      <c r="B8" s="9" t="s">
        <v>14</v>
      </c>
      <c r="C8" s="10" t="s">
        <v>14</v>
      </c>
      <c r="D8" s="8" t="s">
        <v>26</v>
      </c>
      <c r="E8" s="7" t="str">
        <f t="shared" si="0"/>
        <v>01010107</v>
      </c>
      <c r="F8" s="1" t="s">
        <v>1219</v>
      </c>
      <c r="G8" s="1" t="str">
        <f t="shared" si="3"/>
        <v>抽屉01定心钻</v>
      </c>
      <c r="H8" t="str">
        <f t="shared" si="1"/>
        <v>行号01</v>
      </c>
      <c r="I8" s="1" t="str">
        <f t="shared" si="2"/>
        <v>序号07</v>
      </c>
      <c r="J8" s="24"/>
      <c r="K8" s="41"/>
      <c r="L8" s="41"/>
      <c r="M8" s="42">
        <v>0</v>
      </c>
      <c r="N8" s="41">
        <v>0</v>
      </c>
    </row>
    <row r="9" spans="1:49" ht="15.95" customHeight="1">
      <c r="A9" s="8" t="s">
        <v>14</v>
      </c>
      <c r="B9" s="9" t="s">
        <v>14</v>
      </c>
      <c r="C9" s="10" t="s">
        <v>14</v>
      </c>
      <c r="D9" s="8" t="s">
        <v>28</v>
      </c>
      <c r="E9" s="7" t="str">
        <f t="shared" si="0"/>
        <v>01010108</v>
      </c>
      <c r="F9" s="1" t="s">
        <v>1219</v>
      </c>
      <c r="G9" s="1" t="str">
        <f t="shared" si="3"/>
        <v>抽屉01定心钻</v>
      </c>
      <c r="H9" t="str">
        <f t="shared" si="1"/>
        <v>行号01</v>
      </c>
      <c r="I9" s="1" t="str">
        <f t="shared" si="2"/>
        <v>序号08</v>
      </c>
      <c r="J9" s="24"/>
      <c r="K9" s="41"/>
      <c r="L9" s="41"/>
      <c r="M9" s="42">
        <v>0</v>
      </c>
      <c r="N9" s="41">
        <v>0</v>
      </c>
    </row>
    <row r="10" spans="1:49" ht="15.95" customHeight="1">
      <c r="A10" s="8" t="s">
        <v>14</v>
      </c>
      <c r="B10" s="9" t="s">
        <v>14</v>
      </c>
      <c r="C10" s="8" t="s">
        <v>16</v>
      </c>
      <c r="D10" s="11" t="s">
        <v>14</v>
      </c>
      <c r="E10" s="7" t="str">
        <f t="shared" si="0"/>
        <v>01010201</v>
      </c>
      <c r="F10" s="1" t="s">
        <v>1219</v>
      </c>
      <c r="G10" s="1" t="str">
        <f t="shared" si="3"/>
        <v>抽屉01定心钻</v>
      </c>
      <c r="H10" t="str">
        <f t="shared" si="1"/>
        <v>行号02</v>
      </c>
      <c r="I10" s="1" t="str">
        <f t="shared" si="2"/>
        <v>序号01</v>
      </c>
      <c r="J10" s="44" t="s">
        <v>441</v>
      </c>
      <c r="K10" s="39">
        <v>0</v>
      </c>
      <c r="L10" s="39">
        <v>5</v>
      </c>
      <c r="M10" s="48"/>
      <c r="N10" s="48"/>
      <c r="O10" s="57" t="s">
        <v>1234</v>
      </c>
    </row>
    <row r="11" spans="1:49" ht="15.95" customHeight="1">
      <c r="A11" s="8" t="s">
        <v>14</v>
      </c>
      <c r="B11" s="9" t="s">
        <v>14</v>
      </c>
      <c r="C11" s="8" t="s">
        <v>16</v>
      </c>
      <c r="D11" s="11" t="s">
        <v>16</v>
      </c>
      <c r="E11" s="7" t="str">
        <f t="shared" si="0"/>
        <v>01010202</v>
      </c>
      <c r="F11" s="1" t="s">
        <v>1219</v>
      </c>
      <c r="G11" s="1" t="str">
        <f t="shared" si="3"/>
        <v>抽屉01定心钻</v>
      </c>
      <c r="H11" t="str">
        <f t="shared" si="1"/>
        <v>行号02</v>
      </c>
      <c r="I11" s="1" t="str">
        <f t="shared" si="2"/>
        <v>序号02</v>
      </c>
      <c r="J11" s="36" t="s">
        <v>442</v>
      </c>
      <c r="K11" s="39">
        <v>0</v>
      </c>
      <c r="L11" s="39">
        <v>0</v>
      </c>
      <c r="M11" s="33"/>
      <c r="N11" s="39"/>
      <c r="O11" s="57" t="s">
        <v>1235</v>
      </c>
    </row>
    <row r="12" spans="1:49" ht="15.95" customHeight="1">
      <c r="A12" s="8" t="s">
        <v>14</v>
      </c>
      <c r="B12" s="9" t="s">
        <v>14</v>
      </c>
      <c r="C12" s="8" t="s">
        <v>16</v>
      </c>
      <c r="D12" s="11" t="s">
        <v>18</v>
      </c>
      <c r="E12" s="7" t="str">
        <f t="shared" si="0"/>
        <v>01010203</v>
      </c>
      <c r="F12" s="1" t="s">
        <v>1219</v>
      </c>
      <c r="G12" s="1" t="str">
        <f t="shared" si="3"/>
        <v>抽屉01定心钻</v>
      </c>
      <c r="H12" t="str">
        <f t="shared" si="1"/>
        <v>行号02</v>
      </c>
      <c r="I12" s="1" t="str">
        <f t="shared" si="2"/>
        <v>序号03</v>
      </c>
      <c r="J12" s="36" t="s">
        <v>443</v>
      </c>
      <c r="K12" s="39">
        <v>0</v>
      </c>
      <c r="L12" s="39">
        <v>0</v>
      </c>
      <c r="M12" s="48"/>
      <c r="N12" s="48"/>
      <c r="O12" s="32" t="s">
        <v>1233</v>
      </c>
    </row>
    <row r="13" spans="1:49" ht="15.95" customHeight="1">
      <c r="A13" s="8" t="s">
        <v>14</v>
      </c>
      <c r="B13" s="9" t="s">
        <v>14</v>
      </c>
      <c r="C13" s="8" t="s">
        <v>16</v>
      </c>
      <c r="D13" s="11" t="s">
        <v>20</v>
      </c>
      <c r="E13" s="7" t="str">
        <f t="shared" si="0"/>
        <v>01010204</v>
      </c>
      <c r="F13" s="1" t="s">
        <v>1219</v>
      </c>
      <c r="G13" s="1" t="str">
        <f t="shared" si="3"/>
        <v>抽屉01定心钻</v>
      </c>
      <c r="H13" t="str">
        <f t="shared" si="1"/>
        <v>行号02</v>
      </c>
      <c r="I13" s="1" t="str">
        <f t="shared" si="2"/>
        <v>序号04</v>
      </c>
      <c r="J13" s="44" t="s">
        <v>444</v>
      </c>
      <c r="K13" s="39">
        <v>0</v>
      </c>
      <c r="L13" s="39">
        <v>5</v>
      </c>
      <c r="M13" s="48"/>
      <c r="N13" s="48"/>
      <c r="O13" s="57" t="s">
        <v>1234</v>
      </c>
    </row>
    <row r="14" spans="1:49" ht="15.95" customHeight="1">
      <c r="A14" s="8" t="s">
        <v>14</v>
      </c>
      <c r="B14" s="9" t="s">
        <v>14</v>
      </c>
      <c r="C14" s="8" t="s">
        <v>16</v>
      </c>
      <c r="D14" s="11" t="s">
        <v>22</v>
      </c>
      <c r="E14" s="7" t="str">
        <f t="shared" si="0"/>
        <v>01010205</v>
      </c>
      <c r="F14" s="1" t="s">
        <v>1219</v>
      </c>
      <c r="G14" s="1" t="str">
        <f t="shared" si="3"/>
        <v>抽屉01定心钻</v>
      </c>
      <c r="H14" t="str">
        <f t="shared" si="1"/>
        <v>行号02</v>
      </c>
      <c r="I14" s="1" t="str">
        <f t="shared" si="2"/>
        <v>序号05</v>
      </c>
      <c r="J14" s="44" t="s">
        <v>445</v>
      </c>
      <c r="K14" s="39">
        <v>0</v>
      </c>
      <c r="L14" s="39">
        <v>0</v>
      </c>
      <c r="M14" s="33"/>
      <c r="N14" s="39"/>
      <c r="O14" s="57" t="s">
        <v>1236</v>
      </c>
    </row>
    <row r="15" spans="1:49" ht="15.95" customHeight="1">
      <c r="A15" s="8" t="s">
        <v>14</v>
      </c>
      <c r="B15" s="9" t="s">
        <v>14</v>
      </c>
      <c r="C15" s="8" t="s">
        <v>16</v>
      </c>
      <c r="D15" s="11" t="s">
        <v>24</v>
      </c>
      <c r="E15" s="7" t="str">
        <f t="shared" si="0"/>
        <v>01010206</v>
      </c>
      <c r="F15" s="1" t="s">
        <v>1219</v>
      </c>
      <c r="G15" s="1" t="str">
        <f t="shared" si="3"/>
        <v>抽屉01定心钻</v>
      </c>
      <c r="H15" t="str">
        <f t="shared" si="1"/>
        <v>行号02</v>
      </c>
      <c r="I15" s="1" t="str">
        <f t="shared" si="2"/>
        <v>序号06</v>
      </c>
      <c r="J15" s="44" t="s">
        <v>446</v>
      </c>
      <c r="K15" s="39">
        <v>0</v>
      </c>
      <c r="L15" s="39">
        <v>5</v>
      </c>
      <c r="M15" s="48"/>
      <c r="N15" s="48"/>
      <c r="O15" s="32" t="s">
        <v>1233</v>
      </c>
      <c r="P15" s="34">
        <v>274046</v>
      </c>
    </row>
    <row r="16" spans="1:49" ht="15.95" customHeight="1">
      <c r="A16" s="8" t="s">
        <v>14</v>
      </c>
      <c r="B16" s="9" t="s">
        <v>14</v>
      </c>
      <c r="C16" s="8" t="s">
        <v>16</v>
      </c>
      <c r="D16" s="11" t="s">
        <v>26</v>
      </c>
      <c r="E16" s="7" t="str">
        <f t="shared" si="0"/>
        <v>01010207</v>
      </c>
      <c r="F16" s="1" t="s">
        <v>1219</v>
      </c>
      <c r="G16" s="1" t="str">
        <f t="shared" si="3"/>
        <v>抽屉01定心钻</v>
      </c>
      <c r="H16" t="str">
        <f t="shared" si="1"/>
        <v>行号02</v>
      </c>
      <c r="I16" s="1" t="str">
        <f t="shared" si="2"/>
        <v>序号07</v>
      </c>
      <c r="J16" s="44" t="s">
        <v>447</v>
      </c>
      <c r="K16" s="39">
        <v>0</v>
      </c>
      <c r="L16" s="39">
        <v>0</v>
      </c>
      <c r="M16" s="33"/>
      <c r="N16" s="39"/>
      <c r="O16" s="57" t="s">
        <v>1235</v>
      </c>
    </row>
    <row r="17" spans="1:16" ht="15.95" customHeight="1">
      <c r="A17" s="8" t="s">
        <v>14</v>
      </c>
      <c r="B17" s="9" t="s">
        <v>14</v>
      </c>
      <c r="C17" s="8" t="s">
        <v>16</v>
      </c>
      <c r="D17" s="11" t="s">
        <v>28</v>
      </c>
      <c r="E17" s="7" t="str">
        <f t="shared" si="0"/>
        <v>01010208</v>
      </c>
      <c r="F17" s="1" t="s">
        <v>1219</v>
      </c>
      <c r="G17" s="1" t="str">
        <f t="shared" si="3"/>
        <v>抽屉01定心钻</v>
      </c>
      <c r="H17" t="str">
        <f t="shared" si="1"/>
        <v>行号02</v>
      </c>
      <c r="I17" s="1" t="str">
        <f t="shared" si="2"/>
        <v>序号08</v>
      </c>
      <c r="J17" s="24"/>
      <c r="K17" s="41"/>
      <c r="L17" s="41"/>
      <c r="M17" s="42">
        <v>0</v>
      </c>
      <c r="N17" s="41">
        <v>0</v>
      </c>
    </row>
    <row r="18" spans="1:16" ht="15.95" customHeight="1">
      <c r="A18" s="8" t="s">
        <v>14</v>
      </c>
      <c r="B18" s="9" t="s">
        <v>14</v>
      </c>
      <c r="C18" s="10" t="s">
        <v>18</v>
      </c>
      <c r="D18" s="8" t="s">
        <v>14</v>
      </c>
      <c r="E18" s="7" t="str">
        <f t="shared" si="0"/>
        <v>01010301</v>
      </c>
      <c r="F18" s="1" t="s">
        <v>1219</v>
      </c>
      <c r="G18" s="1" t="str">
        <f t="shared" si="3"/>
        <v>抽屉01定心钻</v>
      </c>
      <c r="H18" t="str">
        <f t="shared" si="1"/>
        <v>行号03</v>
      </c>
      <c r="I18" s="1" t="str">
        <f t="shared" si="2"/>
        <v>序号01</v>
      </c>
      <c r="J18" s="44" t="s">
        <v>448</v>
      </c>
      <c r="K18" s="39">
        <v>0</v>
      </c>
      <c r="L18" s="39">
        <v>5</v>
      </c>
      <c r="M18" s="48"/>
      <c r="N18" s="48"/>
      <c r="O18" s="57" t="s">
        <v>1235</v>
      </c>
    </row>
    <row r="19" spans="1:16" ht="15.95" customHeight="1">
      <c r="A19" s="8" t="s">
        <v>14</v>
      </c>
      <c r="B19" s="9" t="s">
        <v>14</v>
      </c>
      <c r="C19" s="10" t="s">
        <v>18</v>
      </c>
      <c r="D19" s="8" t="s">
        <v>16</v>
      </c>
      <c r="E19" s="7" t="str">
        <f t="shared" si="0"/>
        <v>01010302</v>
      </c>
      <c r="F19" s="1" t="s">
        <v>1219</v>
      </c>
      <c r="G19" s="1" t="str">
        <f t="shared" si="3"/>
        <v>抽屉01定心钻</v>
      </c>
      <c r="H19" t="str">
        <f t="shared" si="1"/>
        <v>行号03</v>
      </c>
      <c r="I19" s="1" t="str">
        <f t="shared" si="2"/>
        <v>序号02</v>
      </c>
      <c r="J19" s="44" t="s">
        <v>449</v>
      </c>
      <c r="K19" s="39">
        <v>0</v>
      </c>
      <c r="L19" s="39">
        <v>5</v>
      </c>
      <c r="M19" s="33"/>
      <c r="N19" s="39"/>
      <c r="O19" s="57" t="s">
        <v>1234</v>
      </c>
    </row>
    <row r="20" spans="1:16" ht="15.95" customHeight="1">
      <c r="A20" s="8" t="s">
        <v>14</v>
      </c>
      <c r="B20" s="9" t="s">
        <v>14</v>
      </c>
      <c r="C20" s="10" t="s">
        <v>18</v>
      </c>
      <c r="D20" s="8" t="s">
        <v>18</v>
      </c>
      <c r="E20" s="7" t="str">
        <f t="shared" si="0"/>
        <v>01010303</v>
      </c>
      <c r="F20" s="1" t="s">
        <v>1219</v>
      </c>
      <c r="G20" s="1" t="str">
        <f t="shared" si="3"/>
        <v>抽屉01定心钻</v>
      </c>
      <c r="H20" t="str">
        <f t="shared" si="1"/>
        <v>行号03</v>
      </c>
      <c r="I20" s="1" t="str">
        <f t="shared" si="2"/>
        <v>序号03</v>
      </c>
      <c r="J20" s="44" t="s">
        <v>450</v>
      </c>
      <c r="K20" s="39">
        <v>0</v>
      </c>
      <c r="L20" s="39">
        <v>5</v>
      </c>
      <c r="M20" s="33"/>
      <c r="N20" s="39"/>
      <c r="O20" s="57" t="s">
        <v>1234</v>
      </c>
    </row>
    <row r="21" spans="1:16" ht="15.95" customHeight="1">
      <c r="A21" s="8" t="s">
        <v>14</v>
      </c>
      <c r="B21" s="9" t="s">
        <v>14</v>
      </c>
      <c r="C21" s="10" t="s">
        <v>18</v>
      </c>
      <c r="D21" s="8" t="s">
        <v>20</v>
      </c>
      <c r="E21" s="7" t="str">
        <f t="shared" si="0"/>
        <v>01010304</v>
      </c>
      <c r="F21" s="1" t="s">
        <v>1219</v>
      </c>
      <c r="G21" s="1" t="str">
        <f t="shared" si="3"/>
        <v>抽屉01定心钻</v>
      </c>
      <c r="H21" t="str">
        <f t="shared" si="1"/>
        <v>行号03</v>
      </c>
      <c r="I21" s="1" t="str">
        <f t="shared" si="2"/>
        <v>序号04</v>
      </c>
      <c r="J21" s="44" t="s">
        <v>451</v>
      </c>
      <c r="K21" s="39">
        <v>0</v>
      </c>
      <c r="L21" s="39">
        <v>5</v>
      </c>
      <c r="M21" s="48"/>
      <c r="N21" s="48"/>
      <c r="O21" s="57" t="s">
        <v>1234</v>
      </c>
    </row>
    <row r="22" spans="1:16" ht="15.95" customHeight="1">
      <c r="A22" s="8" t="s">
        <v>14</v>
      </c>
      <c r="B22" s="9" t="s">
        <v>14</v>
      </c>
      <c r="C22" s="10" t="s">
        <v>18</v>
      </c>
      <c r="D22" s="8" t="s">
        <v>22</v>
      </c>
      <c r="E22" s="7" t="str">
        <f t="shared" si="0"/>
        <v>01010305</v>
      </c>
      <c r="F22" s="1" t="s">
        <v>1219</v>
      </c>
      <c r="G22" s="1" t="str">
        <f t="shared" si="3"/>
        <v>抽屉01定心钻</v>
      </c>
      <c r="H22" t="str">
        <f t="shared" si="1"/>
        <v>行号03</v>
      </c>
      <c r="I22" s="1" t="str">
        <f t="shared" si="2"/>
        <v>序号05</v>
      </c>
      <c r="J22" s="44" t="s">
        <v>452</v>
      </c>
      <c r="K22" s="39">
        <v>0</v>
      </c>
      <c r="L22" s="39">
        <v>5</v>
      </c>
      <c r="M22" s="33"/>
      <c r="N22" s="39"/>
      <c r="O22" s="57" t="s">
        <v>1234</v>
      </c>
    </row>
    <row r="23" spans="1:16" ht="15.95" customHeight="1">
      <c r="A23" s="8" t="s">
        <v>14</v>
      </c>
      <c r="B23" s="9" t="s">
        <v>14</v>
      </c>
      <c r="C23" s="10" t="s">
        <v>18</v>
      </c>
      <c r="D23" s="8" t="s">
        <v>24</v>
      </c>
      <c r="E23" s="7" t="str">
        <f t="shared" si="0"/>
        <v>01010306</v>
      </c>
      <c r="F23" s="1" t="s">
        <v>1219</v>
      </c>
      <c r="G23" s="1" t="str">
        <f t="shared" si="3"/>
        <v>抽屉01定心钻</v>
      </c>
      <c r="H23" t="str">
        <f t="shared" si="1"/>
        <v>行号03</v>
      </c>
      <c r="I23" s="1" t="str">
        <f t="shared" si="2"/>
        <v>序号06</v>
      </c>
      <c r="J23" s="44" t="s">
        <v>453</v>
      </c>
      <c r="K23" s="39">
        <v>0</v>
      </c>
      <c r="L23" s="39">
        <v>5</v>
      </c>
      <c r="M23" s="33"/>
      <c r="N23" s="39"/>
      <c r="O23" s="57" t="s">
        <v>1237</v>
      </c>
      <c r="P23" s="34">
        <v>969351</v>
      </c>
    </row>
    <row r="24" spans="1:16" ht="15.95" customHeight="1">
      <c r="A24" s="8" t="s">
        <v>14</v>
      </c>
      <c r="B24" s="9" t="s">
        <v>14</v>
      </c>
      <c r="C24" s="10" t="s">
        <v>18</v>
      </c>
      <c r="D24" s="8" t="s">
        <v>26</v>
      </c>
      <c r="E24" s="7" t="str">
        <f t="shared" si="0"/>
        <v>01010307</v>
      </c>
      <c r="F24" s="1" t="s">
        <v>1219</v>
      </c>
      <c r="G24" s="1" t="str">
        <f t="shared" si="3"/>
        <v>抽屉01定心钻</v>
      </c>
      <c r="H24" t="str">
        <f t="shared" si="1"/>
        <v>行号03</v>
      </c>
      <c r="I24" s="1" t="str">
        <f t="shared" si="2"/>
        <v>序号07</v>
      </c>
      <c r="J24" s="44" t="s">
        <v>454</v>
      </c>
      <c r="K24" s="39">
        <v>0</v>
      </c>
      <c r="L24" s="39">
        <v>0</v>
      </c>
      <c r="M24" s="33"/>
      <c r="N24" s="39"/>
      <c r="O24" s="57" t="s">
        <v>1238</v>
      </c>
    </row>
    <row r="25" spans="1:16" ht="15.95" customHeight="1">
      <c r="A25" s="8" t="s">
        <v>14</v>
      </c>
      <c r="B25" s="9" t="s">
        <v>14</v>
      </c>
      <c r="C25" s="10" t="s">
        <v>18</v>
      </c>
      <c r="D25" s="8" t="s">
        <v>28</v>
      </c>
      <c r="E25" s="7" t="str">
        <f t="shared" si="0"/>
        <v>01010308</v>
      </c>
      <c r="F25" s="1" t="s">
        <v>1219</v>
      </c>
      <c r="G25" s="1" t="str">
        <f t="shared" si="3"/>
        <v>抽屉01定心钻</v>
      </c>
      <c r="H25" t="str">
        <f t="shared" si="1"/>
        <v>行号03</v>
      </c>
      <c r="I25" s="1" t="str">
        <f t="shared" si="2"/>
        <v>序号08</v>
      </c>
      <c r="J25" s="24"/>
      <c r="K25" s="41"/>
      <c r="L25" s="41"/>
      <c r="M25" s="42">
        <v>0</v>
      </c>
      <c r="N25" s="41">
        <v>0</v>
      </c>
    </row>
    <row r="26" spans="1:16" ht="15.95" customHeight="1">
      <c r="A26" s="8" t="s">
        <v>14</v>
      </c>
      <c r="B26" s="9" t="s">
        <v>14</v>
      </c>
      <c r="C26" s="8" t="s">
        <v>20</v>
      </c>
      <c r="D26" s="11" t="s">
        <v>14</v>
      </c>
      <c r="E26" s="7" t="str">
        <f t="shared" si="0"/>
        <v>01010401</v>
      </c>
      <c r="F26" s="1" t="s">
        <v>1219</v>
      </c>
      <c r="G26" s="1" t="str">
        <f t="shared" si="3"/>
        <v>抽屉01定心钻</v>
      </c>
      <c r="H26" t="str">
        <f t="shared" si="1"/>
        <v>行号04</v>
      </c>
      <c r="I26" s="1" t="str">
        <f t="shared" si="2"/>
        <v>序号01</v>
      </c>
      <c r="J26" s="44" t="s">
        <v>455</v>
      </c>
      <c r="K26" s="39">
        <v>0</v>
      </c>
      <c r="L26" s="39">
        <v>10</v>
      </c>
      <c r="M26" s="48"/>
      <c r="N26" s="48"/>
      <c r="O26" s="57" t="s">
        <v>1239</v>
      </c>
    </row>
    <row r="27" spans="1:16" ht="15.95" customHeight="1">
      <c r="A27" s="8" t="s">
        <v>14</v>
      </c>
      <c r="B27" s="9" t="s">
        <v>14</v>
      </c>
      <c r="C27" s="8" t="s">
        <v>20</v>
      </c>
      <c r="D27" s="11" t="s">
        <v>16</v>
      </c>
      <c r="E27" s="7" t="str">
        <f t="shared" si="0"/>
        <v>01010402</v>
      </c>
      <c r="F27" s="1" t="s">
        <v>1219</v>
      </c>
      <c r="G27" s="1" t="str">
        <f t="shared" si="3"/>
        <v>抽屉01定心钻</v>
      </c>
      <c r="H27" t="str">
        <f t="shared" si="1"/>
        <v>行号04</v>
      </c>
      <c r="I27" s="1" t="str">
        <f t="shared" si="2"/>
        <v>序号02</v>
      </c>
      <c r="J27" s="44" t="s">
        <v>456</v>
      </c>
      <c r="K27" s="39">
        <v>0</v>
      </c>
      <c r="L27" s="39">
        <v>5</v>
      </c>
      <c r="M27" s="48"/>
      <c r="N27" s="48"/>
      <c r="O27" s="32" t="s">
        <v>1233</v>
      </c>
    </row>
    <row r="28" spans="1:16" ht="15.95" customHeight="1">
      <c r="A28" s="8" t="s">
        <v>14</v>
      </c>
      <c r="B28" s="9" t="s">
        <v>14</v>
      </c>
      <c r="C28" s="8" t="s">
        <v>20</v>
      </c>
      <c r="D28" s="11" t="s">
        <v>18</v>
      </c>
      <c r="E28" s="7" t="str">
        <f t="shared" si="0"/>
        <v>01010403</v>
      </c>
      <c r="F28" s="1" t="s">
        <v>1219</v>
      </c>
      <c r="G28" s="1" t="str">
        <f t="shared" si="3"/>
        <v>抽屉01定心钻</v>
      </c>
      <c r="H28" t="str">
        <f t="shared" si="1"/>
        <v>行号04</v>
      </c>
      <c r="I28" s="1" t="str">
        <f t="shared" si="2"/>
        <v>序号03</v>
      </c>
      <c r="J28" s="44" t="s">
        <v>457</v>
      </c>
      <c r="K28" s="39">
        <v>0</v>
      </c>
      <c r="L28" s="39">
        <v>5</v>
      </c>
      <c r="M28" s="48"/>
      <c r="N28" s="48"/>
      <c r="O28" s="57" t="s">
        <v>1234</v>
      </c>
    </row>
    <row r="29" spans="1:16" ht="15.95" customHeight="1">
      <c r="A29" s="8" t="s">
        <v>14</v>
      </c>
      <c r="B29" s="9" t="s">
        <v>14</v>
      </c>
      <c r="C29" s="8" t="s">
        <v>20</v>
      </c>
      <c r="D29" s="11" t="s">
        <v>20</v>
      </c>
      <c r="E29" s="7" t="str">
        <f t="shared" si="0"/>
        <v>01010404</v>
      </c>
      <c r="F29" s="1" t="s">
        <v>1219</v>
      </c>
      <c r="G29" s="1" t="str">
        <f t="shared" si="3"/>
        <v>抽屉01定心钻</v>
      </c>
      <c r="H29" t="str">
        <f t="shared" si="1"/>
        <v>行号04</v>
      </c>
      <c r="I29" s="1" t="str">
        <f t="shared" si="2"/>
        <v>序号04</v>
      </c>
      <c r="J29" s="44" t="s">
        <v>458</v>
      </c>
      <c r="K29" s="39"/>
      <c r="L29" s="39"/>
      <c r="M29" s="48"/>
      <c r="N29" s="48"/>
      <c r="O29" s="57" t="s">
        <v>1234</v>
      </c>
    </row>
    <row r="30" spans="1:16" ht="15.95" customHeight="1">
      <c r="A30" s="8" t="s">
        <v>14</v>
      </c>
      <c r="B30" s="9" t="s">
        <v>14</v>
      </c>
      <c r="C30" s="8" t="s">
        <v>20</v>
      </c>
      <c r="D30" s="11" t="s">
        <v>22</v>
      </c>
      <c r="E30" s="7" t="str">
        <f t="shared" si="0"/>
        <v>01010405</v>
      </c>
      <c r="F30" s="1" t="s">
        <v>1219</v>
      </c>
      <c r="G30" s="1" t="str">
        <f t="shared" si="3"/>
        <v>抽屉01定心钻</v>
      </c>
      <c r="H30" t="str">
        <f t="shared" si="1"/>
        <v>行号04</v>
      </c>
      <c r="I30" s="1" t="str">
        <f t="shared" si="2"/>
        <v>序号05</v>
      </c>
      <c r="J30" s="44" t="s">
        <v>1275</v>
      </c>
      <c r="K30" s="39"/>
      <c r="L30" s="39"/>
      <c r="M30" s="48"/>
      <c r="N30" s="48"/>
      <c r="O30" s="57" t="s">
        <v>1234</v>
      </c>
    </row>
    <row r="31" spans="1:16" ht="15.95" customHeight="1">
      <c r="A31" s="8" t="s">
        <v>14</v>
      </c>
      <c r="B31" s="9" t="s">
        <v>14</v>
      </c>
      <c r="C31" s="8" t="s">
        <v>20</v>
      </c>
      <c r="D31" s="11" t="s">
        <v>24</v>
      </c>
      <c r="E31" s="7" t="str">
        <f t="shared" si="0"/>
        <v>01010406</v>
      </c>
      <c r="F31" s="1" t="s">
        <v>1219</v>
      </c>
      <c r="G31" s="1" t="str">
        <f t="shared" si="3"/>
        <v>抽屉01定心钻</v>
      </c>
      <c r="H31" t="str">
        <f t="shared" si="1"/>
        <v>行号04</v>
      </c>
      <c r="I31" s="1" t="str">
        <f t="shared" si="2"/>
        <v>序号06</v>
      </c>
      <c r="J31" s="24"/>
      <c r="K31" s="41"/>
      <c r="L31" s="41"/>
      <c r="M31" s="42">
        <v>0</v>
      </c>
      <c r="N31" s="41">
        <v>0</v>
      </c>
    </row>
    <row r="32" spans="1:16" ht="15.95" customHeight="1">
      <c r="A32" s="8" t="s">
        <v>14</v>
      </c>
      <c r="B32" s="9" t="s">
        <v>14</v>
      </c>
      <c r="C32" s="8" t="s">
        <v>20</v>
      </c>
      <c r="D32" s="11" t="s">
        <v>26</v>
      </c>
      <c r="E32" s="7" t="str">
        <f t="shared" si="0"/>
        <v>01010407</v>
      </c>
      <c r="F32" s="1" t="s">
        <v>1219</v>
      </c>
      <c r="G32" s="1" t="str">
        <f t="shared" si="3"/>
        <v>抽屉01定心钻</v>
      </c>
      <c r="H32" t="str">
        <f t="shared" si="1"/>
        <v>行号04</v>
      </c>
      <c r="I32" s="1" t="str">
        <f t="shared" si="2"/>
        <v>序号07</v>
      </c>
      <c r="J32" s="24"/>
      <c r="K32" s="41"/>
      <c r="L32" s="41"/>
      <c r="M32" s="42">
        <v>0</v>
      </c>
      <c r="N32" s="41">
        <v>0</v>
      </c>
    </row>
    <row r="33" spans="1:15" ht="15.95" customHeight="1">
      <c r="A33" s="8" t="s">
        <v>14</v>
      </c>
      <c r="B33" s="9" t="s">
        <v>14</v>
      </c>
      <c r="C33" s="8" t="s">
        <v>20</v>
      </c>
      <c r="D33" s="11" t="s">
        <v>28</v>
      </c>
      <c r="E33" s="7" t="str">
        <f t="shared" si="0"/>
        <v>01010408</v>
      </c>
      <c r="F33" s="1" t="s">
        <v>1219</v>
      </c>
      <c r="G33" s="1" t="str">
        <f>"抽屉"&amp;B33&amp;"定心钻"</f>
        <v>抽屉01定心钻</v>
      </c>
      <c r="H33" t="str">
        <f t="shared" si="1"/>
        <v>行号04</v>
      </c>
      <c r="I33" s="1" t="str">
        <f t="shared" si="2"/>
        <v>序号08</v>
      </c>
      <c r="J33" s="24"/>
      <c r="K33" s="41"/>
      <c r="L33" s="41"/>
      <c r="M33" s="42">
        <v>0</v>
      </c>
      <c r="N33" s="41">
        <v>0</v>
      </c>
    </row>
    <row r="34" spans="1:15" ht="15.95" customHeight="1">
      <c r="A34" s="8" t="s">
        <v>14</v>
      </c>
      <c r="B34" s="8" t="s">
        <v>16</v>
      </c>
      <c r="C34" s="10" t="s">
        <v>14</v>
      </c>
      <c r="D34" s="8" t="s">
        <v>14</v>
      </c>
      <c r="E34" s="7" t="str">
        <f t="shared" si="0"/>
        <v>01020101</v>
      </c>
      <c r="F34" s="1" t="s">
        <v>1219</v>
      </c>
      <c r="G34" s="1" t="str">
        <f>"抽屉"&amp;B34&amp;"定心钻/中心钻"</f>
        <v>抽屉02定心钻/中心钻</v>
      </c>
      <c r="H34" t="str">
        <f t="shared" si="1"/>
        <v>行号01</v>
      </c>
      <c r="I34" s="1" t="str">
        <f t="shared" si="2"/>
        <v>序号01</v>
      </c>
      <c r="J34" s="44" t="s">
        <v>459</v>
      </c>
      <c r="K34" s="39">
        <v>0</v>
      </c>
      <c r="L34" s="39">
        <v>5</v>
      </c>
      <c r="M34" s="33"/>
      <c r="N34" s="39"/>
      <c r="O34" s="57" t="s">
        <v>1234</v>
      </c>
    </row>
    <row r="35" spans="1:15" ht="15.95" customHeight="1">
      <c r="A35" s="8" t="s">
        <v>14</v>
      </c>
      <c r="B35" s="8" t="s">
        <v>16</v>
      </c>
      <c r="C35" s="10" t="s">
        <v>14</v>
      </c>
      <c r="D35" s="8" t="s">
        <v>16</v>
      </c>
      <c r="E35" s="7" t="str">
        <f t="shared" si="0"/>
        <v>01020102</v>
      </c>
      <c r="F35" s="1" t="s">
        <v>1219</v>
      </c>
      <c r="G35" s="1" t="str">
        <f t="shared" ref="G35:G61" si="4">"抽屉"&amp;B35&amp;"定心钻/中心钻"</f>
        <v>抽屉02定心钻/中心钻</v>
      </c>
      <c r="H35" t="str">
        <f t="shared" si="1"/>
        <v>行号01</v>
      </c>
      <c r="I35" s="1" t="str">
        <f t="shared" si="2"/>
        <v>序号02</v>
      </c>
      <c r="J35" s="44" t="s">
        <v>460</v>
      </c>
      <c r="K35" s="39">
        <v>0</v>
      </c>
      <c r="L35" s="39">
        <v>5</v>
      </c>
      <c r="M35" s="33"/>
      <c r="N35" s="39"/>
      <c r="O35" s="57" t="s">
        <v>1234</v>
      </c>
    </row>
    <row r="36" spans="1:15" ht="15.95" customHeight="1">
      <c r="A36" s="8" t="s">
        <v>14</v>
      </c>
      <c r="B36" s="8" t="s">
        <v>16</v>
      </c>
      <c r="C36" s="10" t="s">
        <v>14</v>
      </c>
      <c r="D36" s="8" t="s">
        <v>18</v>
      </c>
      <c r="E36" s="7" t="str">
        <f t="shared" si="0"/>
        <v>01020103</v>
      </c>
      <c r="F36" s="1" t="s">
        <v>1219</v>
      </c>
      <c r="G36" s="1" t="str">
        <f t="shared" si="4"/>
        <v>抽屉02定心钻/中心钻</v>
      </c>
      <c r="H36" t="str">
        <f t="shared" si="1"/>
        <v>行号01</v>
      </c>
      <c r="I36" s="1" t="str">
        <f t="shared" si="2"/>
        <v>序号03</v>
      </c>
      <c r="J36" s="44" t="s">
        <v>461</v>
      </c>
      <c r="K36" s="39">
        <v>0</v>
      </c>
      <c r="L36" s="39">
        <v>5</v>
      </c>
      <c r="M36" s="33"/>
      <c r="N36" s="39"/>
      <c r="O36" s="57" t="s">
        <v>1234</v>
      </c>
    </row>
    <row r="37" spans="1:15" ht="15.95" customHeight="1">
      <c r="A37" s="8" t="s">
        <v>14</v>
      </c>
      <c r="B37" s="8" t="s">
        <v>16</v>
      </c>
      <c r="C37" s="10" t="s">
        <v>14</v>
      </c>
      <c r="D37" s="8" t="s">
        <v>20</v>
      </c>
      <c r="E37" s="7" t="str">
        <f t="shared" si="0"/>
        <v>01020104</v>
      </c>
      <c r="F37" s="1" t="s">
        <v>1219</v>
      </c>
      <c r="G37" s="1" t="str">
        <f t="shared" si="4"/>
        <v>抽屉02定心钻/中心钻</v>
      </c>
      <c r="H37" t="str">
        <f t="shared" si="1"/>
        <v>行号01</v>
      </c>
      <c r="I37" s="1" t="str">
        <f t="shared" si="2"/>
        <v>序号04</v>
      </c>
      <c r="J37" s="44" t="s">
        <v>462</v>
      </c>
      <c r="K37" s="39">
        <v>0</v>
      </c>
      <c r="L37" s="39">
        <v>5</v>
      </c>
      <c r="M37" s="33"/>
      <c r="N37" s="39"/>
      <c r="O37" s="57" t="s">
        <v>1234</v>
      </c>
    </row>
    <row r="38" spans="1:15" ht="15.95" customHeight="1">
      <c r="A38" s="8" t="s">
        <v>14</v>
      </c>
      <c r="B38" s="8" t="s">
        <v>16</v>
      </c>
      <c r="C38" s="10" t="s">
        <v>14</v>
      </c>
      <c r="D38" s="8" t="s">
        <v>22</v>
      </c>
      <c r="E38" s="7" t="str">
        <f t="shared" si="0"/>
        <v>01020105</v>
      </c>
      <c r="F38" s="1" t="s">
        <v>1219</v>
      </c>
      <c r="G38" s="1" t="str">
        <f t="shared" si="4"/>
        <v>抽屉02定心钻/中心钻</v>
      </c>
      <c r="H38" t="str">
        <f t="shared" si="1"/>
        <v>行号01</v>
      </c>
      <c r="I38" s="1" t="str">
        <f t="shared" si="2"/>
        <v>序号05</v>
      </c>
      <c r="J38" s="44" t="s">
        <v>463</v>
      </c>
      <c r="K38" s="39">
        <v>0</v>
      </c>
      <c r="L38" s="39">
        <v>5</v>
      </c>
      <c r="M38" s="33"/>
      <c r="N38" s="39"/>
      <c r="O38" s="57" t="s">
        <v>1234</v>
      </c>
    </row>
    <row r="39" spans="1:15" ht="15.95" customHeight="1">
      <c r="A39" s="8" t="s">
        <v>14</v>
      </c>
      <c r="B39" s="8" t="s">
        <v>16</v>
      </c>
      <c r="C39" s="10" t="s">
        <v>14</v>
      </c>
      <c r="D39" s="8" t="s">
        <v>24</v>
      </c>
      <c r="E39" s="7" t="str">
        <f t="shared" ref="E39:E40" si="5">A39&amp;B39&amp;C39&amp;D39</f>
        <v>01020106</v>
      </c>
      <c r="F39" s="1" t="s">
        <v>1219</v>
      </c>
      <c r="G39" s="1" t="str">
        <f t="shared" si="4"/>
        <v>抽屉02定心钻/中心钻</v>
      </c>
      <c r="H39" t="str">
        <f t="shared" ref="H39:H40" si="6">"行号"&amp;C39</f>
        <v>行号01</v>
      </c>
      <c r="I39" s="1" t="str">
        <f t="shared" ref="I39:I40" si="7">"序号"&amp;D39</f>
        <v>序号06</v>
      </c>
      <c r="J39" s="44" t="s">
        <v>464</v>
      </c>
      <c r="K39" s="39">
        <v>0</v>
      </c>
      <c r="L39" s="39">
        <v>0</v>
      </c>
      <c r="M39" s="48"/>
      <c r="N39" s="48"/>
      <c r="O39" s="57" t="s">
        <v>1235</v>
      </c>
    </row>
    <row r="40" spans="1:15" ht="15.95" customHeight="1">
      <c r="A40" s="8" t="s">
        <v>14</v>
      </c>
      <c r="B40" s="8" t="s">
        <v>16</v>
      </c>
      <c r="C40" s="10" t="s">
        <v>14</v>
      </c>
      <c r="D40" s="8" t="s">
        <v>26</v>
      </c>
      <c r="E40" s="7" t="str">
        <f t="shared" si="5"/>
        <v>01020107</v>
      </c>
      <c r="F40" s="1" t="s">
        <v>1219</v>
      </c>
      <c r="G40" s="1" t="str">
        <f t="shared" si="4"/>
        <v>抽屉02定心钻/中心钻</v>
      </c>
      <c r="H40" t="str">
        <f t="shared" si="6"/>
        <v>行号01</v>
      </c>
      <c r="I40" s="1" t="str">
        <f t="shared" si="7"/>
        <v>序号07</v>
      </c>
      <c r="J40" s="44" t="s">
        <v>1217</v>
      </c>
      <c r="K40" s="39">
        <v>0</v>
      </c>
      <c r="L40" s="39">
        <v>5</v>
      </c>
      <c r="M40" s="33"/>
      <c r="N40" s="39"/>
      <c r="O40" s="57" t="s">
        <v>1235</v>
      </c>
    </row>
    <row r="41" spans="1:15" ht="15.95" customHeight="1">
      <c r="A41" s="8" t="s">
        <v>14</v>
      </c>
      <c r="B41" s="8" t="s">
        <v>16</v>
      </c>
      <c r="C41" s="10" t="s">
        <v>14</v>
      </c>
      <c r="D41" s="8" t="s">
        <v>28</v>
      </c>
      <c r="E41" s="7" t="str">
        <f t="shared" si="0"/>
        <v>01020108</v>
      </c>
      <c r="F41" s="1" t="s">
        <v>1219</v>
      </c>
      <c r="G41" s="1" t="str">
        <f t="shared" si="4"/>
        <v>抽屉02定心钻/中心钻</v>
      </c>
      <c r="H41" t="str">
        <f t="shared" si="1"/>
        <v>行号01</v>
      </c>
      <c r="I41" s="1" t="str">
        <f t="shared" si="2"/>
        <v>序号08</v>
      </c>
      <c r="J41" s="44" t="s">
        <v>467</v>
      </c>
      <c r="K41" s="39">
        <v>0</v>
      </c>
      <c r="L41" s="39">
        <v>5</v>
      </c>
      <c r="M41" s="33"/>
      <c r="N41" s="39"/>
      <c r="O41" s="57" t="s">
        <v>1234</v>
      </c>
    </row>
    <row r="42" spans="1:15" ht="15.95" customHeight="1">
      <c r="A42" s="8" t="s">
        <v>14</v>
      </c>
      <c r="B42" s="8" t="s">
        <v>16</v>
      </c>
      <c r="C42" s="8" t="s">
        <v>16</v>
      </c>
      <c r="D42" s="11" t="s">
        <v>14</v>
      </c>
      <c r="E42" s="7" t="str">
        <f t="shared" si="0"/>
        <v>01020201</v>
      </c>
      <c r="F42" s="1" t="s">
        <v>1219</v>
      </c>
      <c r="G42" s="1" t="str">
        <f t="shared" si="4"/>
        <v>抽屉02定心钻/中心钻</v>
      </c>
      <c r="H42" t="str">
        <f t="shared" si="1"/>
        <v>行号02</v>
      </c>
      <c r="I42" s="1" t="str">
        <f t="shared" si="2"/>
        <v>序号01</v>
      </c>
      <c r="J42" s="44" t="s">
        <v>468</v>
      </c>
      <c r="K42" s="39">
        <v>0</v>
      </c>
      <c r="L42" s="39">
        <v>0</v>
      </c>
      <c r="M42" s="48"/>
      <c r="N42" s="48"/>
      <c r="O42" s="57" t="s">
        <v>1235</v>
      </c>
    </row>
    <row r="43" spans="1:15" ht="15.95" customHeight="1">
      <c r="A43" s="8" t="s">
        <v>14</v>
      </c>
      <c r="B43" s="8" t="s">
        <v>16</v>
      </c>
      <c r="C43" s="8" t="s">
        <v>16</v>
      </c>
      <c r="D43" s="11" t="s">
        <v>16</v>
      </c>
      <c r="E43" s="7" t="str">
        <f t="shared" si="0"/>
        <v>01020202</v>
      </c>
      <c r="F43" s="1" t="s">
        <v>1219</v>
      </c>
      <c r="G43" s="1" t="str">
        <f t="shared" si="4"/>
        <v>抽屉02定心钻/中心钻</v>
      </c>
      <c r="H43" t="str">
        <f t="shared" si="1"/>
        <v>行号02</v>
      </c>
      <c r="I43" s="1" t="str">
        <f t="shared" si="2"/>
        <v>序号02</v>
      </c>
      <c r="J43" s="44" t="s">
        <v>469</v>
      </c>
      <c r="K43" s="39">
        <v>0</v>
      </c>
      <c r="L43" s="39">
        <v>0</v>
      </c>
      <c r="M43" s="48"/>
      <c r="N43" s="48"/>
      <c r="O43" s="57" t="s">
        <v>1235</v>
      </c>
    </row>
    <row r="44" spans="1:15" ht="15.95" customHeight="1">
      <c r="A44" s="8" t="s">
        <v>14</v>
      </c>
      <c r="B44" s="8" t="s">
        <v>16</v>
      </c>
      <c r="C44" s="8" t="s">
        <v>16</v>
      </c>
      <c r="D44" s="11" t="s">
        <v>18</v>
      </c>
      <c r="E44" s="7" t="str">
        <f t="shared" si="0"/>
        <v>01020203</v>
      </c>
      <c r="F44" s="1" t="s">
        <v>1219</v>
      </c>
      <c r="G44" s="1" t="str">
        <f t="shared" si="4"/>
        <v>抽屉02定心钻/中心钻</v>
      </c>
      <c r="H44" t="str">
        <f t="shared" si="1"/>
        <v>行号02</v>
      </c>
      <c r="I44" s="1" t="str">
        <f t="shared" si="2"/>
        <v>序号03</v>
      </c>
      <c r="J44" s="44" t="s">
        <v>470</v>
      </c>
      <c r="K44" s="39">
        <v>0</v>
      </c>
      <c r="L44" s="39">
        <v>0</v>
      </c>
      <c r="M44" s="48"/>
      <c r="N44" s="48"/>
      <c r="O44" s="57" t="s">
        <v>1235</v>
      </c>
    </row>
    <row r="45" spans="1:15" ht="15.95" customHeight="1">
      <c r="A45" s="8" t="s">
        <v>14</v>
      </c>
      <c r="B45" s="8" t="s">
        <v>16</v>
      </c>
      <c r="C45" s="8" t="s">
        <v>16</v>
      </c>
      <c r="D45" s="11" t="s">
        <v>20</v>
      </c>
      <c r="E45" s="7" t="str">
        <f t="shared" si="0"/>
        <v>01020204</v>
      </c>
      <c r="F45" s="1" t="s">
        <v>1219</v>
      </c>
      <c r="G45" s="1" t="str">
        <f t="shared" si="4"/>
        <v>抽屉02定心钻/中心钻</v>
      </c>
      <c r="H45" t="str">
        <f t="shared" si="1"/>
        <v>行号02</v>
      </c>
      <c r="I45" s="1" t="str">
        <f t="shared" si="2"/>
        <v>序号04</v>
      </c>
      <c r="J45" s="36" t="s">
        <v>471</v>
      </c>
      <c r="K45" s="39">
        <v>0</v>
      </c>
      <c r="L45" s="39">
        <v>0</v>
      </c>
      <c r="M45" s="48"/>
      <c r="N45" s="48"/>
      <c r="O45" s="57" t="s">
        <v>1235</v>
      </c>
    </row>
    <row r="46" spans="1:15" ht="15.95" customHeight="1">
      <c r="A46" s="8" t="s">
        <v>14</v>
      </c>
      <c r="B46" s="8" t="s">
        <v>16</v>
      </c>
      <c r="C46" s="8" t="s">
        <v>16</v>
      </c>
      <c r="D46" s="11" t="s">
        <v>22</v>
      </c>
      <c r="E46" s="7" t="str">
        <f t="shared" si="0"/>
        <v>01020205</v>
      </c>
      <c r="F46" s="1" t="s">
        <v>1219</v>
      </c>
      <c r="G46" s="1" t="str">
        <f t="shared" si="4"/>
        <v>抽屉02定心钻/中心钻</v>
      </c>
      <c r="H46" t="str">
        <f t="shared" si="1"/>
        <v>行号02</v>
      </c>
      <c r="I46" s="1" t="str">
        <f t="shared" si="2"/>
        <v>序号05</v>
      </c>
      <c r="J46" s="36" t="s">
        <v>472</v>
      </c>
      <c r="K46" s="39">
        <v>0</v>
      </c>
      <c r="L46" s="39">
        <v>5</v>
      </c>
      <c r="M46" s="48"/>
      <c r="N46" s="48"/>
      <c r="O46" s="57" t="s">
        <v>1236</v>
      </c>
    </row>
    <row r="47" spans="1:15" ht="15.95" customHeight="1">
      <c r="A47" s="8" t="s">
        <v>14</v>
      </c>
      <c r="B47" s="8" t="s">
        <v>16</v>
      </c>
      <c r="C47" s="8" t="s">
        <v>16</v>
      </c>
      <c r="D47" s="11" t="s">
        <v>24</v>
      </c>
      <c r="E47" s="7" t="str">
        <f t="shared" si="0"/>
        <v>01020206</v>
      </c>
      <c r="F47" s="1" t="s">
        <v>1219</v>
      </c>
      <c r="G47" s="1" t="str">
        <f t="shared" si="4"/>
        <v>抽屉02定心钻/中心钻</v>
      </c>
      <c r="H47" t="str">
        <f t="shared" si="1"/>
        <v>行号02</v>
      </c>
      <c r="I47" s="1" t="str">
        <f t="shared" si="2"/>
        <v>序号06</v>
      </c>
      <c r="J47" s="36" t="s">
        <v>473</v>
      </c>
      <c r="K47" s="39">
        <v>0</v>
      </c>
      <c r="L47" s="39">
        <v>5</v>
      </c>
      <c r="M47" s="48"/>
      <c r="N47" s="48"/>
      <c r="O47" s="57" t="s">
        <v>1235</v>
      </c>
    </row>
    <row r="48" spans="1:15" ht="15.95" customHeight="1">
      <c r="A48" s="8" t="s">
        <v>14</v>
      </c>
      <c r="B48" s="8" t="s">
        <v>16</v>
      </c>
      <c r="C48" s="8" t="s">
        <v>16</v>
      </c>
      <c r="D48" s="11" t="s">
        <v>26</v>
      </c>
      <c r="E48" s="7" t="str">
        <f t="shared" si="0"/>
        <v>01020207</v>
      </c>
      <c r="F48" s="1" t="s">
        <v>1219</v>
      </c>
      <c r="G48" s="1" t="str">
        <f t="shared" si="4"/>
        <v>抽屉02定心钻/中心钻</v>
      </c>
      <c r="H48" t="str">
        <f t="shared" si="1"/>
        <v>行号02</v>
      </c>
      <c r="I48" s="1" t="str">
        <f t="shared" si="2"/>
        <v>序号07</v>
      </c>
      <c r="J48" s="37" t="s">
        <v>1310</v>
      </c>
      <c r="K48" s="39">
        <v>0</v>
      </c>
      <c r="L48" s="39">
        <v>0</v>
      </c>
      <c r="M48" s="48"/>
      <c r="N48" s="48"/>
      <c r="O48" s="57" t="s">
        <v>1234</v>
      </c>
    </row>
    <row r="49" spans="1:16" ht="15.95" customHeight="1">
      <c r="A49" s="8" t="s">
        <v>14</v>
      </c>
      <c r="B49" s="8" t="s">
        <v>16</v>
      </c>
      <c r="C49" s="8" t="s">
        <v>16</v>
      </c>
      <c r="D49" s="11" t="s">
        <v>28</v>
      </c>
      <c r="E49" s="7" t="str">
        <f t="shared" si="0"/>
        <v>01020208</v>
      </c>
      <c r="F49" s="1" t="s">
        <v>1219</v>
      </c>
      <c r="G49" s="1" t="str">
        <f t="shared" si="4"/>
        <v>抽屉02定心钻/中心钻</v>
      </c>
      <c r="H49" t="str">
        <f t="shared" si="1"/>
        <v>行号02</v>
      </c>
      <c r="I49" s="1" t="str">
        <f t="shared" si="2"/>
        <v>序号08</v>
      </c>
      <c r="J49" s="44" t="s">
        <v>474</v>
      </c>
      <c r="K49" s="39">
        <v>0</v>
      </c>
      <c r="L49" s="39">
        <v>5</v>
      </c>
      <c r="M49" s="48"/>
      <c r="N49" s="48"/>
      <c r="O49" s="57" t="s">
        <v>1234</v>
      </c>
    </row>
    <row r="50" spans="1:16" ht="15.95" customHeight="1">
      <c r="A50" s="8" t="s">
        <v>14</v>
      </c>
      <c r="B50" s="8" t="s">
        <v>16</v>
      </c>
      <c r="C50" s="10" t="s">
        <v>18</v>
      </c>
      <c r="D50" s="8" t="s">
        <v>14</v>
      </c>
      <c r="E50" s="7" t="str">
        <f t="shared" si="0"/>
        <v>01020301</v>
      </c>
      <c r="F50" s="1" t="s">
        <v>1219</v>
      </c>
      <c r="G50" s="1" t="str">
        <f t="shared" si="4"/>
        <v>抽屉02定心钻/中心钻</v>
      </c>
      <c r="H50" t="str">
        <f t="shared" si="1"/>
        <v>行号03</v>
      </c>
      <c r="I50" s="1" t="str">
        <f t="shared" si="2"/>
        <v>序号01</v>
      </c>
      <c r="J50" s="36" t="s">
        <v>475</v>
      </c>
      <c r="K50" s="39">
        <v>0</v>
      </c>
      <c r="L50" s="39">
        <v>5</v>
      </c>
      <c r="M50" s="48"/>
      <c r="N50" s="48"/>
      <c r="O50" s="57" t="s">
        <v>1235</v>
      </c>
    </row>
    <row r="51" spans="1:16" ht="15.95" customHeight="1">
      <c r="A51" s="8" t="s">
        <v>14</v>
      </c>
      <c r="B51" s="8" t="s">
        <v>16</v>
      </c>
      <c r="C51" s="10" t="s">
        <v>18</v>
      </c>
      <c r="D51" s="8" t="s">
        <v>16</v>
      </c>
      <c r="E51" s="7" t="str">
        <f t="shared" si="0"/>
        <v>01020302</v>
      </c>
      <c r="F51" s="1" t="s">
        <v>1219</v>
      </c>
      <c r="G51" s="1" t="str">
        <f t="shared" si="4"/>
        <v>抽屉02定心钻/中心钻</v>
      </c>
      <c r="H51" t="str">
        <f t="shared" si="1"/>
        <v>行号03</v>
      </c>
      <c r="I51" s="1" t="str">
        <f t="shared" si="2"/>
        <v>序号02</v>
      </c>
      <c r="J51" s="37">
        <v>20.5</v>
      </c>
      <c r="K51" s="39">
        <v>0</v>
      </c>
      <c r="L51" s="39">
        <v>0</v>
      </c>
      <c r="M51" s="33"/>
      <c r="N51" s="39"/>
      <c r="O51" s="57" t="s">
        <v>1235</v>
      </c>
    </row>
    <row r="52" spans="1:16" ht="15.95" customHeight="1">
      <c r="A52" s="8" t="s">
        <v>14</v>
      </c>
      <c r="B52" s="8" t="s">
        <v>16</v>
      </c>
      <c r="C52" s="10" t="s">
        <v>18</v>
      </c>
      <c r="D52" s="8" t="s">
        <v>18</v>
      </c>
      <c r="E52" s="7" t="str">
        <f t="shared" si="0"/>
        <v>01020303</v>
      </c>
      <c r="F52" s="1" t="s">
        <v>1219</v>
      </c>
      <c r="G52" s="1" t="str">
        <f t="shared" si="4"/>
        <v>抽屉02定心钻/中心钻</v>
      </c>
      <c r="H52" t="str">
        <f t="shared" si="1"/>
        <v>行号03</v>
      </c>
      <c r="I52" s="1" t="str">
        <f t="shared" si="2"/>
        <v>序号03</v>
      </c>
      <c r="J52" s="36" t="s">
        <v>476</v>
      </c>
      <c r="K52" s="39">
        <v>0</v>
      </c>
      <c r="L52" s="39">
        <v>5</v>
      </c>
      <c r="M52" s="48"/>
      <c r="N52" s="48"/>
      <c r="O52" s="57" t="s">
        <v>1235</v>
      </c>
    </row>
    <row r="53" spans="1:16" ht="15.95" customHeight="1">
      <c r="A53" s="8" t="s">
        <v>14</v>
      </c>
      <c r="B53" s="8" t="s">
        <v>16</v>
      </c>
      <c r="C53" s="10" t="s">
        <v>18</v>
      </c>
      <c r="D53" s="8" t="s">
        <v>20</v>
      </c>
      <c r="E53" s="7" t="str">
        <f t="shared" si="0"/>
        <v>01020304</v>
      </c>
      <c r="F53" s="1" t="s">
        <v>1219</v>
      </c>
      <c r="G53" s="1" t="str">
        <f t="shared" si="4"/>
        <v>抽屉02定心钻/中心钻</v>
      </c>
      <c r="H53" t="str">
        <f t="shared" si="1"/>
        <v>行号03</v>
      </c>
      <c r="I53" s="1" t="str">
        <f t="shared" si="2"/>
        <v>序号04</v>
      </c>
      <c r="J53" s="36" t="s">
        <v>1139</v>
      </c>
      <c r="K53" s="39">
        <v>0</v>
      </c>
      <c r="L53" s="39">
        <v>2</v>
      </c>
      <c r="M53" s="33"/>
      <c r="N53" s="39"/>
      <c r="O53" s="57" t="s">
        <v>1235</v>
      </c>
    </row>
    <row r="54" spans="1:16" ht="15.95" customHeight="1">
      <c r="A54" s="8" t="s">
        <v>14</v>
      </c>
      <c r="B54" s="8" t="s">
        <v>16</v>
      </c>
      <c r="C54" s="10" t="s">
        <v>18</v>
      </c>
      <c r="D54" s="8" t="s">
        <v>22</v>
      </c>
      <c r="E54" s="7" t="str">
        <f t="shared" si="0"/>
        <v>01020305</v>
      </c>
      <c r="F54" s="1" t="s">
        <v>1219</v>
      </c>
      <c r="G54" s="1" t="str">
        <f t="shared" si="4"/>
        <v>抽屉02定心钻/中心钻</v>
      </c>
      <c r="H54" t="str">
        <f t="shared" si="1"/>
        <v>行号03</v>
      </c>
      <c r="I54" s="1" t="str">
        <f t="shared" si="2"/>
        <v>序号05</v>
      </c>
      <c r="J54" s="36" t="s">
        <v>477</v>
      </c>
      <c r="K54" s="39">
        <v>0</v>
      </c>
      <c r="L54" s="39">
        <v>0</v>
      </c>
      <c r="M54" s="33"/>
      <c r="N54" s="39"/>
      <c r="O54" s="57" t="s">
        <v>1235</v>
      </c>
    </row>
    <row r="55" spans="1:16" ht="15.95" customHeight="1">
      <c r="A55" s="8" t="s">
        <v>14</v>
      </c>
      <c r="B55" s="8" t="s">
        <v>16</v>
      </c>
      <c r="C55" s="10" t="s">
        <v>18</v>
      </c>
      <c r="D55" s="8" t="s">
        <v>24</v>
      </c>
      <c r="E55" s="7" t="str">
        <f t="shared" si="0"/>
        <v>01020306</v>
      </c>
      <c r="F55" s="1" t="s">
        <v>1219</v>
      </c>
      <c r="G55" s="1" t="str">
        <f t="shared" si="4"/>
        <v>抽屉02定心钻/中心钻</v>
      </c>
      <c r="H55" t="str">
        <f t="shared" si="1"/>
        <v>行号03</v>
      </c>
      <c r="I55" s="1" t="str">
        <f t="shared" si="2"/>
        <v>序号06</v>
      </c>
      <c r="J55" s="44" t="s">
        <v>465</v>
      </c>
      <c r="K55" s="39">
        <v>0</v>
      </c>
      <c r="L55" s="39">
        <v>0</v>
      </c>
      <c r="M55" s="33"/>
      <c r="N55" s="39"/>
      <c r="O55" s="57" t="s">
        <v>1235</v>
      </c>
    </row>
    <row r="56" spans="1:16" ht="15.95" customHeight="1">
      <c r="A56" s="8" t="s">
        <v>14</v>
      </c>
      <c r="B56" s="8" t="s">
        <v>16</v>
      </c>
      <c r="C56" s="10" t="s">
        <v>18</v>
      </c>
      <c r="D56" s="8" t="s">
        <v>26</v>
      </c>
      <c r="E56" s="7" t="str">
        <f t="shared" si="0"/>
        <v>01020307</v>
      </c>
      <c r="F56" s="1" t="s">
        <v>1219</v>
      </c>
      <c r="G56" s="1" t="str">
        <f t="shared" si="4"/>
        <v>抽屉02定心钻/中心钻</v>
      </c>
      <c r="H56" t="str">
        <f t="shared" si="1"/>
        <v>行号03</v>
      </c>
      <c r="I56" s="1" t="str">
        <f t="shared" si="2"/>
        <v>序号07</v>
      </c>
      <c r="J56" s="37">
        <v>32</v>
      </c>
      <c r="K56" s="39">
        <v>0</v>
      </c>
      <c r="L56" s="39">
        <v>5</v>
      </c>
      <c r="M56" s="48"/>
      <c r="N56" s="48"/>
      <c r="O56" s="57" t="s">
        <v>1235</v>
      </c>
    </row>
    <row r="57" spans="1:16" ht="15.95" customHeight="1">
      <c r="A57" s="8" t="s">
        <v>14</v>
      </c>
      <c r="B57" s="8" t="s">
        <v>16</v>
      </c>
      <c r="C57" s="10" t="s">
        <v>18</v>
      </c>
      <c r="D57" s="8" t="s">
        <v>28</v>
      </c>
      <c r="E57" s="7" t="str">
        <f t="shared" ref="E57" si="8">A57&amp;B57&amp;C57&amp;D57</f>
        <v>01020308</v>
      </c>
      <c r="F57" s="1" t="s">
        <v>1219</v>
      </c>
      <c r="G57" s="1" t="str">
        <f t="shared" ref="G57" si="9">"抽屉"&amp;B57&amp;"定心钻/中心钻"</f>
        <v>抽屉02定心钻/中心钻</v>
      </c>
      <c r="H57" t="str">
        <f t="shared" ref="H57" si="10">"行号"&amp;C57</f>
        <v>行号03</v>
      </c>
      <c r="I57" s="1" t="str">
        <f t="shared" ref="I57" si="11">"序号"&amp;D57</f>
        <v>序号08</v>
      </c>
      <c r="J57" s="38"/>
      <c r="K57" s="41"/>
      <c r="L57" s="41"/>
      <c r="M57" s="42">
        <v>0</v>
      </c>
      <c r="N57" s="41">
        <v>0</v>
      </c>
    </row>
    <row r="58" spans="1:16" ht="15.95" customHeight="1">
      <c r="A58" s="8" t="s">
        <v>14</v>
      </c>
      <c r="B58" s="8" t="s">
        <v>16</v>
      </c>
      <c r="C58" s="8" t="s">
        <v>20</v>
      </c>
      <c r="D58" s="11" t="s">
        <v>18</v>
      </c>
      <c r="E58" s="7" t="str">
        <f t="shared" ref="E58" si="12">A58&amp;B58&amp;C58&amp;D58</f>
        <v>01020403</v>
      </c>
      <c r="F58" s="1" t="s">
        <v>1219</v>
      </c>
      <c r="G58" s="1" t="str">
        <f t="shared" ref="G58" si="13">"抽屉"&amp;B58&amp;"定心钻/中心钻"</f>
        <v>抽屉02定心钻/中心钻</v>
      </c>
      <c r="H58" t="str">
        <f t="shared" ref="H58" si="14">"行号"&amp;C58</f>
        <v>行号04</v>
      </c>
      <c r="I58" s="1" t="str">
        <f t="shared" ref="I58" si="15">"序号"&amp;D58</f>
        <v>序号03</v>
      </c>
      <c r="J58" s="36" t="s">
        <v>1227</v>
      </c>
      <c r="K58" s="39">
        <v>0</v>
      </c>
      <c r="L58" s="39">
        <v>5</v>
      </c>
      <c r="M58" s="48"/>
      <c r="N58" s="48"/>
      <c r="O58" s="57" t="s">
        <v>1240</v>
      </c>
    </row>
    <row r="59" spans="1:16" ht="15.95" customHeight="1">
      <c r="A59" s="8" t="s">
        <v>14</v>
      </c>
      <c r="B59" s="8" t="s">
        <v>16</v>
      </c>
      <c r="C59" s="8" t="s">
        <v>20</v>
      </c>
      <c r="D59" s="11" t="s">
        <v>22</v>
      </c>
      <c r="E59" s="7" t="str">
        <f t="shared" si="0"/>
        <v>01020405</v>
      </c>
      <c r="F59" s="1" t="s">
        <v>1219</v>
      </c>
      <c r="G59" s="1" t="str">
        <f t="shared" si="4"/>
        <v>抽屉02定心钻/中心钻</v>
      </c>
      <c r="H59" t="str">
        <f t="shared" si="1"/>
        <v>行号04</v>
      </c>
      <c r="I59" s="1" t="str">
        <f t="shared" si="2"/>
        <v>序号05</v>
      </c>
      <c r="J59" s="36" t="s">
        <v>483</v>
      </c>
      <c r="K59" s="39">
        <v>0</v>
      </c>
      <c r="L59" s="39">
        <v>5</v>
      </c>
      <c r="M59" s="33"/>
      <c r="N59" s="39"/>
      <c r="O59" s="57" t="s">
        <v>1234</v>
      </c>
    </row>
    <row r="60" spans="1:16" ht="15.95" customHeight="1">
      <c r="A60" s="8" t="s">
        <v>14</v>
      </c>
      <c r="B60" s="8" t="s">
        <v>16</v>
      </c>
      <c r="C60" s="8" t="s">
        <v>20</v>
      </c>
      <c r="D60" s="11" t="s">
        <v>24</v>
      </c>
      <c r="E60" s="7" t="str">
        <f t="shared" si="0"/>
        <v>01020406</v>
      </c>
      <c r="F60" s="1" t="s">
        <v>1219</v>
      </c>
      <c r="G60" s="1" t="str">
        <f t="shared" si="4"/>
        <v>抽屉02定心钻/中心钻</v>
      </c>
      <c r="H60" t="str">
        <f t="shared" si="1"/>
        <v>行号04</v>
      </c>
      <c r="I60" s="1" t="str">
        <f t="shared" si="2"/>
        <v>序号06</v>
      </c>
      <c r="J60" s="38"/>
      <c r="K60" s="41"/>
      <c r="L60" s="41"/>
      <c r="M60" s="42">
        <v>0</v>
      </c>
      <c r="N60" s="41">
        <v>0</v>
      </c>
    </row>
    <row r="61" spans="1:16" ht="15.95" customHeight="1">
      <c r="A61" s="8" t="s">
        <v>14</v>
      </c>
      <c r="B61" s="8" t="s">
        <v>16</v>
      </c>
      <c r="C61" s="8" t="s">
        <v>20</v>
      </c>
      <c r="D61" s="11" t="s">
        <v>26</v>
      </c>
      <c r="E61" s="7" t="str">
        <f t="shared" si="0"/>
        <v>01020407</v>
      </c>
      <c r="F61" s="1" t="s">
        <v>1219</v>
      </c>
      <c r="G61" s="1" t="str">
        <f t="shared" si="4"/>
        <v>抽屉02定心钻/中心钻</v>
      </c>
      <c r="H61" t="str">
        <f t="shared" si="1"/>
        <v>行号04</v>
      </c>
      <c r="I61" s="1" t="str">
        <f t="shared" si="2"/>
        <v>序号07</v>
      </c>
      <c r="J61" s="38"/>
      <c r="K61" s="41"/>
      <c r="L61" s="41"/>
      <c r="M61" s="42">
        <v>0</v>
      </c>
      <c r="N61" s="41">
        <v>0</v>
      </c>
    </row>
    <row r="62" spans="1:16" ht="15.95" customHeight="1">
      <c r="A62" s="8" t="s">
        <v>14</v>
      </c>
      <c r="B62" s="8" t="s">
        <v>16</v>
      </c>
      <c r="C62" s="8" t="s">
        <v>20</v>
      </c>
      <c r="D62" s="11" t="s">
        <v>28</v>
      </c>
      <c r="E62" s="7" t="str">
        <f t="shared" si="0"/>
        <v>01020408</v>
      </c>
      <c r="F62" s="1" t="s">
        <v>1219</v>
      </c>
      <c r="G62" s="1" t="str">
        <f>"抽屉"&amp;B62&amp;"定心钻/中心钻"</f>
        <v>抽屉02定心钻/中心钻</v>
      </c>
      <c r="H62" t="str">
        <f t="shared" si="1"/>
        <v>行号04</v>
      </c>
      <c r="I62" s="1" t="str">
        <f t="shared" si="2"/>
        <v>序号08</v>
      </c>
      <c r="J62" s="38"/>
      <c r="K62" s="41"/>
      <c r="L62" s="41"/>
      <c r="M62" s="42">
        <v>0</v>
      </c>
      <c r="N62" s="41">
        <v>0</v>
      </c>
    </row>
    <row r="63" spans="1:16" ht="15.95" customHeight="1">
      <c r="A63" s="8" t="s">
        <v>14</v>
      </c>
      <c r="B63" s="9" t="s">
        <v>18</v>
      </c>
      <c r="C63" s="10" t="s">
        <v>14</v>
      </c>
      <c r="D63" s="8" t="s">
        <v>14</v>
      </c>
      <c r="E63" s="7" t="str">
        <f t="shared" si="0"/>
        <v>01030101</v>
      </c>
      <c r="F63" s="1" t="s">
        <v>1219</v>
      </c>
      <c r="G63" s="1" t="str">
        <f>"抽屉"&amp;B63&amp;"球钻"</f>
        <v>抽屉03球钻</v>
      </c>
      <c r="H63" t="str">
        <f t="shared" si="1"/>
        <v>行号01</v>
      </c>
      <c r="I63" s="1" t="str">
        <f t="shared" si="2"/>
        <v>序号01</v>
      </c>
      <c r="J63" s="36" t="s">
        <v>484</v>
      </c>
      <c r="K63" s="39">
        <v>0</v>
      </c>
      <c r="L63" s="39">
        <v>10</v>
      </c>
      <c r="M63" s="33"/>
      <c r="N63" s="39"/>
      <c r="O63" s="57" t="s">
        <v>1239</v>
      </c>
      <c r="P63" s="34">
        <v>787140</v>
      </c>
    </row>
    <row r="64" spans="1:16" ht="15.95" customHeight="1">
      <c r="A64" s="8" t="s">
        <v>14</v>
      </c>
      <c r="B64" s="9" t="s">
        <v>18</v>
      </c>
      <c r="C64" s="10" t="s">
        <v>14</v>
      </c>
      <c r="D64" s="8" t="s">
        <v>16</v>
      </c>
      <c r="E64" s="7" t="str">
        <f t="shared" si="0"/>
        <v>01030102</v>
      </c>
      <c r="F64" s="1" t="s">
        <v>1219</v>
      </c>
      <c r="G64" s="1" t="str">
        <f t="shared" ref="G64:G93" si="16">"抽屉"&amp;B64&amp;"球钻"</f>
        <v>抽屉03球钻</v>
      </c>
      <c r="H64" t="str">
        <f t="shared" si="1"/>
        <v>行号01</v>
      </c>
      <c r="I64" s="1" t="str">
        <f t="shared" si="2"/>
        <v>序号02</v>
      </c>
      <c r="J64" s="36" t="s">
        <v>485</v>
      </c>
      <c r="K64" s="39">
        <v>0</v>
      </c>
      <c r="L64" s="39">
        <v>10</v>
      </c>
      <c r="M64" s="33"/>
      <c r="N64" s="39"/>
      <c r="O64" s="57" t="s">
        <v>1239</v>
      </c>
      <c r="P64" s="34">
        <v>787130</v>
      </c>
    </row>
    <row r="65" spans="1:16" ht="15.95" customHeight="1">
      <c r="A65" s="8" t="s">
        <v>14</v>
      </c>
      <c r="B65" s="9" t="s">
        <v>18</v>
      </c>
      <c r="C65" s="10" t="s">
        <v>14</v>
      </c>
      <c r="D65" s="8" t="s">
        <v>18</v>
      </c>
      <c r="E65" s="7" t="str">
        <f t="shared" si="0"/>
        <v>01030103</v>
      </c>
      <c r="F65" s="1" t="s">
        <v>1219</v>
      </c>
      <c r="G65" s="1" t="str">
        <f t="shared" si="16"/>
        <v>抽屉03球钻</v>
      </c>
      <c r="H65" t="str">
        <f t="shared" si="1"/>
        <v>行号01</v>
      </c>
      <c r="I65" s="1" t="str">
        <f t="shared" si="2"/>
        <v>序号03</v>
      </c>
      <c r="J65" s="36" t="s">
        <v>486</v>
      </c>
      <c r="K65" s="39">
        <v>0</v>
      </c>
      <c r="L65" s="39">
        <v>10</v>
      </c>
      <c r="M65" s="33"/>
      <c r="N65" s="39"/>
      <c r="O65" s="32" t="s">
        <v>1233</v>
      </c>
      <c r="P65" s="34">
        <v>787125</v>
      </c>
    </row>
    <row r="66" spans="1:16" ht="15.95" customHeight="1">
      <c r="A66" s="8" t="s">
        <v>14</v>
      </c>
      <c r="B66" s="9" t="s">
        <v>18</v>
      </c>
      <c r="C66" s="10" t="s">
        <v>14</v>
      </c>
      <c r="D66" s="8" t="s">
        <v>20</v>
      </c>
      <c r="E66" s="7" t="str">
        <f t="shared" si="0"/>
        <v>01030104</v>
      </c>
      <c r="F66" s="1" t="s">
        <v>1219</v>
      </c>
      <c r="G66" s="1" t="str">
        <f t="shared" si="16"/>
        <v>抽屉03球钻</v>
      </c>
      <c r="H66" t="str">
        <f t="shared" si="1"/>
        <v>行号01</v>
      </c>
      <c r="I66" s="1" t="str">
        <f t="shared" si="2"/>
        <v>序号04</v>
      </c>
      <c r="J66" s="36" t="s">
        <v>487</v>
      </c>
      <c r="K66" s="39">
        <v>0</v>
      </c>
      <c r="L66" s="39">
        <v>10</v>
      </c>
      <c r="M66" s="48"/>
      <c r="N66" s="48"/>
      <c r="O66" s="57" t="s">
        <v>1239</v>
      </c>
      <c r="P66" s="34">
        <v>787109</v>
      </c>
    </row>
    <row r="67" spans="1:16" ht="15.95" customHeight="1">
      <c r="A67" s="8" t="s">
        <v>14</v>
      </c>
      <c r="B67" s="9" t="s">
        <v>18</v>
      </c>
      <c r="C67" s="10" t="s">
        <v>14</v>
      </c>
      <c r="D67" s="8" t="s">
        <v>22</v>
      </c>
      <c r="E67" s="7" t="str">
        <f t="shared" si="0"/>
        <v>01030105</v>
      </c>
      <c r="F67" s="1" t="s">
        <v>1219</v>
      </c>
      <c r="G67" s="1" t="str">
        <f t="shared" si="16"/>
        <v>抽屉03球钻</v>
      </c>
      <c r="H67" t="str">
        <f t="shared" si="1"/>
        <v>行号01</v>
      </c>
      <c r="I67" s="1" t="str">
        <f t="shared" si="2"/>
        <v>序号05</v>
      </c>
      <c r="J67" t="s">
        <v>488</v>
      </c>
      <c r="K67" s="39">
        <v>0</v>
      </c>
      <c r="L67" s="39">
        <v>10</v>
      </c>
      <c r="M67" s="33"/>
      <c r="N67" s="39"/>
      <c r="O67" s="57" t="s">
        <v>1239</v>
      </c>
    </row>
    <row r="68" spans="1:16" ht="15.95" customHeight="1">
      <c r="A68" s="8" t="s">
        <v>14</v>
      </c>
      <c r="B68" s="9" t="s">
        <v>18</v>
      </c>
      <c r="C68" s="10" t="s">
        <v>14</v>
      </c>
      <c r="D68" s="8" t="s">
        <v>24</v>
      </c>
      <c r="E68" s="7" t="str">
        <f t="shared" si="0"/>
        <v>01030106</v>
      </c>
      <c r="F68" s="1" t="s">
        <v>1219</v>
      </c>
      <c r="G68" s="1" t="str">
        <f t="shared" si="16"/>
        <v>抽屉03球钻</v>
      </c>
      <c r="H68" t="str">
        <f t="shared" si="1"/>
        <v>行号01</v>
      </c>
      <c r="I68" s="1" t="str">
        <f t="shared" si="2"/>
        <v>序号06</v>
      </c>
      <c r="J68" t="s">
        <v>489</v>
      </c>
      <c r="K68" s="39">
        <v>0</v>
      </c>
      <c r="L68" s="39">
        <v>10</v>
      </c>
      <c r="M68" s="33"/>
      <c r="N68" s="39"/>
      <c r="O68" s="57" t="s">
        <v>1239</v>
      </c>
      <c r="P68" s="34">
        <v>787137</v>
      </c>
    </row>
    <row r="69" spans="1:16" ht="15.95" customHeight="1">
      <c r="A69" s="8" t="s">
        <v>14</v>
      </c>
      <c r="B69" s="9" t="s">
        <v>18</v>
      </c>
      <c r="C69" s="10" t="s">
        <v>14</v>
      </c>
      <c r="D69" s="8" t="s">
        <v>26</v>
      </c>
      <c r="E69" s="7" t="str">
        <f t="shared" si="0"/>
        <v>01030107</v>
      </c>
      <c r="F69" s="1" t="s">
        <v>1219</v>
      </c>
      <c r="G69" s="1" t="str">
        <f t="shared" si="16"/>
        <v>抽屉03球钻</v>
      </c>
      <c r="H69" t="str">
        <f t="shared" si="1"/>
        <v>行号01</v>
      </c>
      <c r="I69" s="1" t="str">
        <f t="shared" si="2"/>
        <v>序号07</v>
      </c>
      <c r="J69" t="s">
        <v>490</v>
      </c>
      <c r="K69" s="39">
        <v>0</v>
      </c>
      <c r="L69" s="39">
        <v>10</v>
      </c>
      <c r="M69" s="48"/>
      <c r="N69" s="48"/>
      <c r="O69" s="57" t="s">
        <v>1239</v>
      </c>
      <c r="P69" s="34">
        <v>787102</v>
      </c>
    </row>
    <row r="70" spans="1:16" ht="15.95" customHeight="1">
      <c r="A70" s="8" t="s">
        <v>14</v>
      </c>
      <c r="B70" s="9" t="s">
        <v>18</v>
      </c>
      <c r="C70" s="10" t="s">
        <v>14</v>
      </c>
      <c r="D70" s="8" t="s">
        <v>28</v>
      </c>
      <c r="E70" s="7" t="str">
        <f t="shared" ref="E70:E134" si="17">A70&amp;B70&amp;C70&amp;D70</f>
        <v>01030108</v>
      </c>
      <c r="F70" s="1" t="s">
        <v>1219</v>
      </c>
      <c r="G70" s="1" t="str">
        <f t="shared" si="16"/>
        <v>抽屉03球钻</v>
      </c>
      <c r="H70" t="str">
        <f t="shared" ref="H70:H134" si="18">"行号"&amp;C70</f>
        <v>行号01</v>
      </c>
      <c r="I70" s="1" t="str">
        <f t="shared" ref="I70:I134" si="19">"序号"&amp;D70</f>
        <v>序号08</v>
      </c>
      <c r="J70" s="36" t="s">
        <v>491</v>
      </c>
      <c r="K70" s="39">
        <v>0</v>
      </c>
      <c r="L70" s="39">
        <v>10</v>
      </c>
      <c r="M70" s="33"/>
      <c r="N70" s="39"/>
      <c r="O70" s="57" t="s">
        <v>1239</v>
      </c>
      <c r="P70" s="34">
        <v>787090</v>
      </c>
    </row>
    <row r="71" spans="1:16" ht="15.95" customHeight="1">
      <c r="A71" s="8" t="s">
        <v>14</v>
      </c>
      <c r="B71" s="9" t="s">
        <v>18</v>
      </c>
      <c r="C71" s="8" t="s">
        <v>16</v>
      </c>
      <c r="D71" s="11" t="s">
        <v>14</v>
      </c>
      <c r="E71" s="7" t="str">
        <f t="shared" si="17"/>
        <v>01030201</v>
      </c>
      <c r="F71" s="1" t="s">
        <v>1219</v>
      </c>
      <c r="G71" s="1" t="str">
        <f t="shared" si="16"/>
        <v>抽屉03球钻</v>
      </c>
      <c r="H71" t="str">
        <f t="shared" si="18"/>
        <v>行号02</v>
      </c>
      <c r="I71" s="1" t="str">
        <f t="shared" si="19"/>
        <v>序号01</v>
      </c>
      <c r="J71" s="36" t="s">
        <v>492</v>
      </c>
      <c r="K71" s="39">
        <v>0</v>
      </c>
      <c r="L71" s="39">
        <v>10</v>
      </c>
      <c r="M71" s="48"/>
      <c r="N71" s="48"/>
      <c r="O71" s="57" t="s">
        <v>1239</v>
      </c>
      <c r="P71" s="34">
        <v>786683</v>
      </c>
    </row>
    <row r="72" spans="1:16" ht="15.95" customHeight="1">
      <c r="A72" s="8" t="s">
        <v>14</v>
      </c>
      <c r="B72" s="9" t="s">
        <v>18</v>
      </c>
      <c r="C72" s="8" t="s">
        <v>16</v>
      </c>
      <c r="D72" s="11" t="s">
        <v>16</v>
      </c>
      <c r="E72" s="7" t="str">
        <f t="shared" si="17"/>
        <v>01030202</v>
      </c>
      <c r="F72" s="1" t="s">
        <v>1219</v>
      </c>
      <c r="G72" s="1" t="str">
        <f t="shared" si="16"/>
        <v>抽屉03球钻</v>
      </c>
      <c r="H72" t="str">
        <f t="shared" si="18"/>
        <v>行号02</v>
      </c>
      <c r="I72" s="1" t="str">
        <f t="shared" si="19"/>
        <v>序号02</v>
      </c>
      <c r="J72" s="36" t="s">
        <v>493</v>
      </c>
      <c r="K72" s="39">
        <v>0</v>
      </c>
      <c r="L72" s="39">
        <v>10</v>
      </c>
      <c r="M72" s="48"/>
      <c r="N72" s="48"/>
      <c r="O72" s="57" t="s">
        <v>1239</v>
      </c>
    </row>
    <row r="73" spans="1:16" ht="15.95" customHeight="1">
      <c r="A73" s="8" t="s">
        <v>14</v>
      </c>
      <c r="B73" s="9" t="s">
        <v>18</v>
      </c>
      <c r="C73" s="8" t="s">
        <v>16</v>
      </c>
      <c r="D73" s="11" t="s">
        <v>18</v>
      </c>
      <c r="E73" s="7" t="str">
        <f t="shared" si="17"/>
        <v>01030203</v>
      </c>
      <c r="F73" s="1" t="s">
        <v>1219</v>
      </c>
      <c r="G73" s="1" t="str">
        <f t="shared" si="16"/>
        <v>抽屉03球钻</v>
      </c>
      <c r="H73" t="str">
        <f t="shared" si="18"/>
        <v>行号02</v>
      </c>
      <c r="I73" s="1" t="str">
        <f t="shared" si="19"/>
        <v>序号03</v>
      </c>
      <c r="J73" s="36" t="s">
        <v>494</v>
      </c>
      <c r="K73" s="39">
        <v>0</v>
      </c>
      <c r="L73" s="39">
        <v>10</v>
      </c>
      <c r="M73" s="48"/>
      <c r="N73" s="48"/>
      <c r="O73" s="57" t="s">
        <v>1239</v>
      </c>
      <c r="P73" s="34">
        <v>786183</v>
      </c>
    </row>
    <row r="74" spans="1:16" ht="15.95" customHeight="1">
      <c r="A74" s="8" t="s">
        <v>14</v>
      </c>
      <c r="B74" s="9" t="s">
        <v>18</v>
      </c>
      <c r="C74" s="8" t="s">
        <v>16</v>
      </c>
      <c r="D74" s="11" t="s">
        <v>20</v>
      </c>
      <c r="E74" s="7" t="str">
        <f t="shared" si="17"/>
        <v>01030204</v>
      </c>
      <c r="F74" s="1" t="s">
        <v>1219</v>
      </c>
      <c r="G74" s="1" t="str">
        <f t="shared" si="16"/>
        <v>抽屉03球钻</v>
      </c>
      <c r="H74" t="str">
        <f t="shared" si="18"/>
        <v>行号02</v>
      </c>
      <c r="I74" s="1" t="str">
        <f t="shared" si="19"/>
        <v>序号04</v>
      </c>
      <c r="J74" s="36" t="s">
        <v>495</v>
      </c>
      <c r="K74" s="39">
        <v>0</v>
      </c>
      <c r="L74" s="39">
        <v>10</v>
      </c>
      <c r="M74" s="33"/>
      <c r="N74" s="39"/>
      <c r="O74" s="57" t="s">
        <v>1239</v>
      </c>
    </row>
    <row r="75" spans="1:16" ht="15.95" customHeight="1">
      <c r="A75" s="8" t="s">
        <v>14</v>
      </c>
      <c r="B75" s="9" t="s">
        <v>18</v>
      </c>
      <c r="C75" s="8" t="s">
        <v>16</v>
      </c>
      <c r="D75" s="11" t="s">
        <v>22</v>
      </c>
      <c r="E75" s="7" t="str">
        <f t="shared" si="17"/>
        <v>01030205</v>
      </c>
      <c r="F75" s="1" t="s">
        <v>1219</v>
      </c>
      <c r="G75" s="1" t="str">
        <f t="shared" si="16"/>
        <v>抽屉03球钻</v>
      </c>
      <c r="H75" t="str">
        <f t="shared" si="18"/>
        <v>行号02</v>
      </c>
      <c r="I75" s="1" t="str">
        <f t="shared" si="19"/>
        <v>序号05</v>
      </c>
      <c r="J75" s="36" t="s">
        <v>496</v>
      </c>
      <c r="K75" s="39">
        <v>0</v>
      </c>
      <c r="L75" s="39">
        <v>10</v>
      </c>
      <c r="M75" s="48"/>
      <c r="N75" s="48"/>
      <c r="O75" s="57" t="s">
        <v>1239</v>
      </c>
      <c r="P75" s="34">
        <v>786907</v>
      </c>
    </row>
    <row r="76" spans="1:16" ht="15.95" customHeight="1">
      <c r="A76" s="8" t="s">
        <v>14</v>
      </c>
      <c r="B76" s="9" t="s">
        <v>18</v>
      </c>
      <c r="C76" s="8" t="s">
        <v>16</v>
      </c>
      <c r="D76" s="11" t="s">
        <v>24</v>
      </c>
      <c r="E76" s="7" t="str">
        <f t="shared" si="17"/>
        <v>01030206</v>
      </c>
      <c r="F76" s="1" t="s">
        <v>1219</v>
      </c>
      <c r="G76" s="1" t="str">
        <f t="shared" si="16"/>
        <v>抽屉03球钻</v>
      </c>
      <c r="H76" t="str">
        <f t="shared" si="18"/>
        <v>行号02</v>
      </c>
      <c r="I76" s="1" t="str">
        <f t="shared" si="19"/>
        <v>序号06</v>
      </c>
      <c r="J76" s="38"/>
      <c r="K76" s="41"/>
      <c r="L76" s="41"/>
      <c r="M76" s="42">
        <v>0</v>
      </c>
      <c r="N76" s="41">
        <v>0</v>
      </c>
    </row>
    <row r="77" spans="1:16" ht="15.95" customHeight="1">
      <c r="A77" s="8" t="s">
        <v>14</v>
      </c>
      <c r="B77" s="9" t="s">
        <v>18</v>
      </c>
      <c r="C77" s="8" t="s">
        <v>16</v>
      </c>
      <c r="D77" s="11" t="s">
        <v>26</v>
      </c>
      <c r="E77" s="7" t="str">
        <f t="shared" si="17"/>
        <v>01030207</v>
      </c>
      <c r="F77" s="1" t="s">
        <v>1219</v>
      </c>
      <c r="G77" s="1" t="str">
        <f t="shared" si="16"/>
        <v>抽屉03球钻</v>
      </c>
      <c r="H77" t="str">
        <f t="shared" si="18"/>
        <v>行号02</v>
      </c>
      <c r="I77" s="1" t="str">
        <f t="shared" si="19"/>
        <v>序号07</v>
      </c>
      <c r="J77" s="38"/>
      <c r="K77" s="41"/>
      <c r="L77" s="41"/>
      <c r="M77" s="42">
        <v>0</v>
      </c>
      <c r="N77" s="41">
        <v>0</v>
      </c>
    </row>
    <row r="78" spans="1:16">
      <c r="A78" s="8" t="s">
        <v>14</v>
      </c>
      <c r="B78" s="9" t="s">
        <v>18</v>
      </c>
      <c r="C78" s="8" t="s">
        <v>16</v>
      </c>
      <c r="D78" s="11" t="s">
        <v>28</v>
      </c>
      <c r="E78" s="7" t="str">
        <f t="shared" si="17"/>
        <v>01030208</v>
      </c>
      <c r="F78" s="1" t="s">
        <v>1219</v>
      </c>
      <c r="G78" s="1" t="str">
        <f t="shared" si="16"/>
        <v>抽屉03球钻</v>
      </c>
      <c r="H78" t="str">
        <f t="shared" si="18"/>
        <v>行号02</v>
      </c>
      <c r="I78" s="1" t="str">
        <f t="shared" si="19"/>
        <v>序号08</v>
      </c>
      <c r="J78" s="38"/>
      <c r="K78" s="41"/>
      <c r="L78" s="41"/>
      <c r="M78" s="42">
        <v>0</v>
      </c>
      <c r="N78" s="41">
        <v>0</v>
      </c>
    </row>
    <row r="79" spans="1:16">
      <c r="A79" s="8" t="s">
        <v>14</v>
      </c>
      <c r="B79" s="9" t="s">
        <v>18</v>
      </c>
      <c r="C79" s="10" t="s">
        <v>18</v>
      </c>
      <c r="D79" s="8" t="s">
        <v>14</v>
      </c>
      <c r="E79" s="7" t="str">
        <f t="shared" si="17"/>
        <v>01030301</v>
      </c>
      <c r="F79" s="1" t="s">
        <v>1219</v>
      </c>
      <c r="G79" s="1" t="str">
        <f t="shared" si="16"/>
        <v>抽屉03球钻</v>
      </c>
      <c r="H79" t="str">
        <f t="shared" si="18"/>
        <v>行号03</v>
      </c>
      <c r="I79" s="1" t="str">
        <f t="shared" si="19"/>
        <v>序号01</v>
      </c>
      <c r="J79" s="36" t="s">
        <v>497</v>
      </c>
      <c r="K79" s="39">
        <v>0</v>
      </c>
      <c r="L79" s="39">
        <v>5</v>
      </c>
      <c r="M79" s="33"/>
      <c r="N79" s="39"/>
      <c r="O79" s="57" t="s">
        <v>1239</v>
      </c>
      <c r="P79" s="34">
        <v>786896</v>
      </c>
    </row>
    <row r="80" spans="1:16">
      <c r="A80" s="8" t="s">
        <v>14</v>
      </c>
      <c r="B80" s="9" t="s">
        <v>18</v>
      </c>
      <c r="C80" s="10" t="s">
        <v>18</v>
      </c>
      <c r="D80" s="8" t="s">
        <v>16</v>
      </c>
      <c r="E80" s="7" t="str">
        <f t="shared" si="17"/>
        <v>01030302</v>
      </c>
      <c r="F80" s="1" t="s">
        <v>1219</v>
      </c>
      <c r="G80" s="1" t="str">
        <f t="shared" si="16"/>
        <v>抽屉03球钻</v>
      </c>
      <c r="H80" t="str">
        <f t="shared" si="18"/>
        <v>行号03</v>
      </c>
      <c r="I80" s="1" t="str">
        <f t="shared" si="19"/>
        <v>序号02</v>
      </c>
      <c r="J80" s="36" t="s">
        <v>498</v>
      </c>
      <c r="K80" s="39">
        <v>0</v>
      </c>
      <c r="L80" s="39">
        <v>5</v>
      </c>
      <c r="M80" s="48"/>
      <c r="N80" s="48"/>
      <c r="O80" s="57" t="s">
        <v>1239</v>
      </c>
      <c r="P80" s="34">
        <v>788233</v>
      </c>
    </row>
    <row r="81" spans="1:16">
      <c r="A81" s="8">
        <v>9</v>
      </c>
      <c r="B81" s="9" t="s">
        <v>18</v>
      </c>
      <c r="C81" s="10" t="s">
        <v>18</v>
      </c>
      <c r="D81" s="8" t="s">
        <v>18</v>
      </c>
      <c r="E81" s="7" t="str">
        <f t="shared" si="17"/>
        <v>9030303</v>
      </c>
      <c r="F81" s="1" t="s">
        <v>1219</v>
      </c>
      <c r="G81" s="1" t="str">
        <f t="shared" si="16"/>
        <v>抽屉03球钻</v>
      </c>
      <c r="H81" t="str">
        <f t="shared" si="18"/>
        <v>行号03</v>
      </c>
      <c r="I81" s="1" t="str">
        <f t="shared" si="19"/>
        <v>序号03</v>
      </c>
      <c r="J81" s="36" t="s">
        <v>499</v>
      </c>
      <c r="K81" s="39">
        <v>0</v>
      </c>
      <c r="L81" s="39">
        <v>5</v>
      </c>
      <c r="M81" s="48"/>
      <c r="N81" s="48"/>
      <c r="O81" s="57" t="s">
        <v>1234</v>
      </c>
      <c r="P81" s="34">
        <v>787336</v>
      </c>
    </row>
    <row r="82" spans="1:16">
      <c r="A82" s="8" t="s">
        <v>14</v>
      </c>
      <c r="B82" s="9" t="s">
        <v>18</v>
      </c>
      <c r="C82" s="10" t="s">
        <v>18</v>
      </c>
      <c r="D82" s="8" t="s">
        <v>20</v>
      </c>
      <c r="E82" s="7" t="str">
        <f t="shared" ref="E82" si="20">A82&amp;B82&amp;C82&amp;D82</f>
        <v>01030304</v>
      </c>
      <c r="F82" s="1" t="s">
        <v>1219</v>
      </c>
      <c r="G82" s="1" t="str">
        <f t="shared" ref="G82" si="21">"抽屉"&amp;B82&amp;"球钻"</f>
        <v>抽屉03球钻</v>
      </c>
      <c r="H82" t="str">
        <f t="shared" ref="H82" si="22">"行号"&amp;C82</f>
        <v>行号03</v>
      </c>
      <c r="I82" s="1" t="str">
        <f t="shared" ref="I82" si="23">"序号"&amp;D82</f>
        <v>序号04</v>
      </c>
      <c r="J82" s="36" t="s">
        <v>500</v>
      </c>
      <c r="K82" s="39">
        <v>0</v>
      </c>
      <c r="L82" s="39">
        <v>2</v>
      </c>
      <c r="M82" s="33"/>
      <c r="N82" s="39"/>
      <c r="O82" s="57" t="s">
        <v>1239</v>
      </c>
      <c r="P82" s="34">
        <v>788086</v>
      </c>
    </row>
    <row r="83" spans="1:16">
      <c r="A83" s="8" t="s">
        <v>14</v>
      </c>
      <c r="B83" s="9" t="s">
        <v>18</v>
      </c>
      <c r="C83" s="10" t="s">
        <v>18</v>
      </c>
      <c r="D83" s="8" t="s">
        <v>22</v>
      </c>
      <c r="E83" s="7" t="str">
        <f t="shared" si="17"/>
        <v>01030305</v>
      </c>
      <c r="F83" s="1" t="s">
        <v>1219</v>
      </c>
      <c r="G83" s="1" t="str">
        <f t="shared" si="16"/>
        <v>抽屉03球钻</v>
      </c>
      <c r="H83" t="str">
        <f t="shared" si="18"/>
        <v>行号03</v>
      </c>
      <c r="I83" s="1" t="str">
        <f t="shared" si="19"/>
        <v>序号05</v>
      </c>
      <c r="J83" s="36"/>
      <c r="K83" s="39"/>
      <c r="L83" s="39"/>
      <c r="M83" s="33">
        <v>0</v>
      </c>
      <c r="N83" s="39">
        <v>0</v>
      </c>
    </row>
    <row r="84" spans="1:16">
      <c r="A84" s="8" t="s">
        <v>14</v>
      </c>
      <c r="B84" s="9" t="s">
        <v>18</v>
      </c>
      <c r="C84" s="10" t="s">
        <v>18</v>
      </c>
      <c r="D84" s="8" t="s">
        <v>24</v>
      </c>
      <c r="E84" s="7" t="str">
        <f t="shared" si="17"/>
        <v>01030306</v>
      </c>
      <c r="F84" s="1" t="s">
        <v>1219</v>
      </c>
      <c r="G84" s="1" t="str">
        <f t="shared" si="16"/>
        <v>抽屉03球钻</v>
      </c>
      <c r="H84" t="str">
        <f t="shared" si="18"/>
        <v>行号03</v>
      </c>
      <c r="I84" s="1" t="str">
        <f t="shared" si="19"/>
        <v>序号06</v>
      </c>
      <c r="J84" s="24"/>
      <c r="K84" s="41"/>
      <c r="L84" s="41"/>
      <c r="M84" s="42">
        <v>0</v>
      </c>
      <c r="N84" s="41">
        <v>0</v>
      </c>
    </row>
    <row r="85" spans="1:16">
      <c r="A85" s="8" t="s">
        <v>14</v>
      </c>
      <c r="B85" s="9" t="s">
        <v>18</v>
      </c>
      <c r="C85" s="10" t="s">
        <v>18</v>
      </c>
      <c r="D85" s="8" t="s">
        <v>26</v>
      </c>
      <c r="E85" s="7" t="str">
        <f t="shared" si="17"/>
        <v>01030307</v>
      </c>
      <c r="F85" s="1" t="s">
        <v>1219</v>
      </c>
      <c r="G85" s="1" t="str">
        <f t="shared" si="16"/>
        <v>抽屉03球钻</v>
      </c>
      <c r="H85" t="str">
        <f t="shared" si="18"/>
        <v>行号03</v>
      </c>
      <c r="I85" s="1" t="str">
        <f t="shared" si="19"/>
        <v>序号07</v>
      </c>
      <c r="J85" s="24"/>
      <c r="K85" s="41"/>
      <c r="L85" s="41"/>
      <c r="M85" s="42">
        <v>0</v>
      </c>
      <c r="N85" s="41">
        <v>0</v>
      </c>
    </row>
    <row r="86" spans="1:16">
      <c r="A86" s="8" t="s">
        <v>14</v>
      </c>
      <c r="B86" s="9" t="s">
        <v>18</v>
      </c>
      <c r="C86" s="10" t="s">
        <v>18</v>
      </c>
      <c r="D86" s="8" t="s">
        <v>28</v>
      </c>
      <c r="E86" s="7" t="str">
        <f t="shared" si="17"/>
        <v>01030308</v>
      </c>
      <c r="F86" s="1" t="s">
        <v>1219</v>
      </c>
      <c r="G86" s="1" t="str">
        <f t="shared" si="16"/>
        <v>抽屉03球钻</v>
      </c>
      <c r="H86" t="str">
        <f t="shared" si="18"/>
        <v>行号03</v>
      </c>
      <c r="I86" s="1" t="str">
        <f t="shared" si="19"/>
        <v>序号08</v>
      </c>
      <c r="J86" s="24"/>
      <c r="K86" s="41"/>
      <c r="L86" s="41"/>
      <c r="M86" s="42">
        <v>0</v>
      </c>
      <c r="N86" s="41">
        <v>0</v>
      </c>
    </row>
    <row r="87" spans="1:16">
      <c r="A87" s="8" t="s">
        <v>14</v>
      </c>
      <c r="B87" s="9" t="s">
        <v>18</v>
      </c>
      <c r="C87" s="8" t="s">
        <v>20</v>
      </c>
      <c r="D87" s="11" t="s">
        <v>14</v>
      </c>
      <c r="E87" s="7" t="str">
        <f t="shared" si="17"/>
        <v>01030401</v>
      </c>
      <c r="F87" s="1" t="s">
        <v>1219</v>
      </c>
      <c r="G87" s="1" t="str">
        <f t="shared" si="16"/>
        <v>抽屉03球钻</v>
      </c>
      <c r="H87" t="str">
        <f t="shared" si="18"/>
        <v>行号04</v>
      </c>
      <c r="I87" s="1" t="str">
        <f t="shared" si="19"/>
        <v>序号01</v>
      </c>
      <c r="J87" s="36"/>
      <c r="K87" s="39"/>
      <c r="L87" s="39"/>
      <c r="M87" s="33">
        <v>0</v>
      </c>
      <c r="N87" s="39">
        <v>0</v>
      </c>
    </row>
    <row r="88" spans="1:16">
      <c r="A88" s="8" t="s">
        <v>14</v>
      </c>
      <c r="B88" s="9" t="s">
        <v>18</v>
      </c>
      <c r="C88" s="8" t="s">
        <v>20</v>
      </c>
      <c r="D88" s="11" t="s">
        <v>16</v>
      </c>
      <c r="E88" s="7" t="str">
        <f t="shared" si="17"/>
        <v>01030402</v>
      </c>
      <c r="F88" s="1" t="s">
        <v>1219</v>
      </c>
      <c r="G88" s="1" t="str">
        <f t="shared" si="16"/>
        <v>抽屉03球钻</v>
      </c>
      <c r="H88" t="str">
        <f t="shared" si="18"/>
        <v>行号04</v>
      </c>
      <c r="I88" s="1" t="str">
        <f t="shared" si="19"/>
        <v>序号02</v>
      </c>
      <c r="J88" s="36" t="s">
        <v>501</v>
      </c>
      <c r="K88" s="39">
        <v>0</v>
      </c>
      <c r="L88" s="39">
        <v>5</v>
      </c>
      <c r="M88" s="33"/>
      <c r="N88" s="39"/>
      <c r="O88" s="32" t="s">
        <v>1233</v>
      </c>
      <c r="P88" s="34">
        <v>750382</v>
      </c>
    </row>
    <row r="89" spans="1:16">
      <c r="A89" s="8" t="s">
        <v>14</v>
      </c>
      <c r="B89" s="9" t="s">
        <v>18</v>
      </c>
      <c r="C89" s="8" t="s">
        <v>20</v>
      </c>
      <c r="D89" s="11" t="s">
        <v>18</v>
      </c>
      <c r="E89" s="7" t="str">
        <f t="shared" si="17"/>
        <v>01030403</v>
      </c>
      <c r="F89" s="1" t="s">
        <v>1219</v>
      </c>
      <c r="G89" s="1" t="str">
        <f t="shared" si="16"/>
        <v>抽屉03球钻</v>
      </c>
      <c r="H89" t="str">
        <f t="shared" si="18"/>
        <v>行号04</v>
      </c>
      <c r="I89" s="1" t="str">
        <f t="shared" si="19"/>
        <v>序号03</v>
      </c>
      <c r="J89" s="36"/>
      <c r="K89" s="39"/>
      <c r="L89" s="39"/>
      <c r="M89" s="33">
        <v>0</v>
      </c>
      <c r="N89" s="39">
        <v>0</v>
      </c>
    </row>
    <row r="90" spans="1:16">
      <c r="A90" s="8" t="s">
        <v>14</v>
      </c>
      <c r="B90" s="9" t="s">
        <v>18</v>
      </c>
      <c r="C90" s="8" t="s">
        <v>20</v>
      </c>
      <c r="D90" s="11" t="s">
        <v>20</v>
      </c>
      <c r="E90" s="7" t="str">
        <f t="shared" si="17"/>
        <v>01030404</v>
      </c>
      <c r="F90" s="1" t="s">
        <v>1219</v>
      </c>
      <c r="G90" s="1" t="str">
        <f t="shared" si="16"/>
        <v>抽屉03球钻</v>
      </c>
      <c r="H90" t="str">
        <f t="shared" si="18"/>
        <v>行号04</v>
      </c>
      <c r="I90" s="1" t="str">
        <f t="shared" si="19"/>
        <v>序号04</v>
      </c>
      <c r="J90" s="36"/>
      <c r="K90" s="39"/>
      <c r="L90" s="39"/>
      <c r="M90" s="33">
        <v>0</v>
      </c>
      <c r="N90" s="39">
        <v>0</v>
      </c>
    </row>
    <row r="91" spans="1:16">
      <c r="A91" s="8" t="s">
        <v>14</v>
      </c>
      <c r="B91" s="9" t="s">
        <v>18</v>
      </c>
      <c r="C91" s="8" t="s">
        <v>20</v>
      </c>
      <c r="D91" s="11" t="s">
        <v>22</v>
      </c>
      <c r="E91" s="7" t="str">
        <f t="shared" si="17"/>
        <v>01030405</v>
      </c>
      <c r="F91" s="1" t="s">
        <v>1219</v>
      </c>
      <c r="G91" s="1" t="str">
        <f t="shared" si="16"/>
        <v>抽屉03球钻</v>
      </c>
      <c r="H91" t="str">
        <f t="shared" si="18"/>
        <v>行号04</v>
      </c>
      <c r="I91" s="1" t="str">
        <f t="shared" si="19"/>
        <v>序号05</v>
      </c>
      <c r="J91" s="24"/>
      <c r="K91" s="41"/>
      <c r="L91" s="41"/>
      <c r="M91" s="42">
        <v>0</v>
      </c>
      <c r="N91" s="41">
        <v>0</v>
      </c>
    </row>
    <row r="92" spans="1:16">
      <c r="A92" s="8" t="s">
        <v>14</v>
      </c>
      <c r="B92" s="9" t="s">
        <v>18</v>
      </c>
      <c r="C92" s="8" t="s">
        <v>20</v>
      </c>
      <c r="D92" s="11" t="s">
        <v>24</v>
      </c>
      <c r="E92" s="7" t="str">
        <f t="shared" si="17"/>
        <v>01030406</v>
      </c>
      <c r="F92" s="1" t="s">
        <v>1219</v>
      </c>
      <c r="G92" s="1" t="str">
        <f t="shared" si="16"/>
        <v>抽屉03球钻</v>
      </c>
      <c r="H92" t="str">
        <f t="shared" si="18"/>
        <v>行号04</v>
      </c>
      <c r="I92" s="1" t="str">
        <f t="shared" si="19"/>
        <v>序号06</v>
      </c>
      <c r="J92" s="24"/>
      <c r="K92" s="41"/>
      <c r="L92" s="41"/>
      <c r="M92" s="42">
        <v>0</v>
      </c>
      <c r="N92" s="41">
        <v>0</v>
      </c>
    </row>
    <row r="93" spans="1:16">
      <c r="A93" s="8" t="s">
        <v>14</v>
      </c>
      <c r="B93" s="9" t="s">
        <v>18</v>
      </c>
      <c r="C93" s="8" t="s">
        <v>20</v>
      </c>
      <c r="D93" s="11" t="s">
        <v>26</v>
      </c>
      <c r="E93" s="7" t="str">
        <f t="shared" si="17"/>
        <v>01030407</v>
      </c>
      <c r="F93" s="1" t="s">
        <v>1219</v>
      </c>
      <c r="G93" s="1" t="str">
        <f t="shared" si="16"/>
        <v>抽屉03球钻</v>
      </c>
      <c r="H93" t="str">
        <f t="shared" si="18"/>
        <v>行号04</v>
      </c>
      <c r="I93" s="1" t="str">
        <f t="shared" si="19"/>
        <v>序号07</v>
      </c>
      <c r="J93" s="24"/>
      <c r="K93" s="41"/>
      <c r="L93" s="41"/>
      <c r="M93" s="42">
        <v>0</v>
      </c>
      <c r="N93" s="41">
        <v>0</v>
      </c>
    </row>
    <row r="94" spans="1:16">
      <c r="A94" s="8" t="s">
        <v>14</v>
      </c>
      <c r="B94" s="9" t="s">
        <v>18</v>
      </c>
      <c r="C94" s="8" t="s">
        <v>20</v>
      </c>
      <c r="D94" s="11" t="s">
        <v>28</v>
      </c>
      <c r="E94" s="7" t="str">
        <f t="shared" si="17"/>
        <v>01030408</v>
      </c>
      <c r="F94" s="1" t="s">
        <v>1219</v>
      </c>
      <c r="G94" s="1" t="str">
        <f>"抽屉"&amp;B94&amp;"球钻"</f>
        <v>抽屉03球钻</v>
      </c>
      <c r="H94" t="str">
        <f t="shared" si="18"/>
        <v>行号04</v>
      </c>
      <c r="I94" s="1" t="str">
        <f t="shared" si="19"/>
        <v>序号08</v>
      </c>
      <c r="J94" s="24"/>
      <c r="K94" s="41"/>
      <c r="L94" s="41"/>
      <c r="M94" s="42">
        <v>0</v>
      </c>
      <c r="N94" s="41">
        <v>0</v>
      </c>
    </row>
    <row r="95" spans="1:16">
      <c r="A95" s="8" t="s">
        <v>14</v>
      </c>
      <c r="B95" s="8" t="s">
        <v>20</v>
      </c>
      <c r="C95" s="10" t="s">
        <v>14</v>
      </c>
      <c r="D95" s="8" t="s">
        <v>14</v>
      </c>
      <c r="E95" s="7" t="str">
        <f t="shared" si="17"/>
        <v>01040101</v>
      </c>
      <c r="F95" s="1" t="s">
        <v>1219</v>
      </c>
      <c r="G95" s="1" t="str">
        <f>"抽屉"&amp;B95&amp;"引导钻"</f>
        <v>抽屉04引导钻</v>
      </c>
      <c r="H95" t="str">
        <f t="shared" si="18"/>
        <v>行号01</v>
      </c>
      <c r="I95" s="1" t="str">
        <f t="shared" si="19"/>
        <v>序号01</v>
      </c>
      <c r="J95" t="s">
        <v>502</v>
      </c>
      <c r="K95" s="39">
        <v>0</v>
      </c>
      <c r="L95" s="39">
        <v>5</v>
      </c>
      <c r="M95" s="33"/>
      <c r="N95" s="39"/>
      <c r="O95" s="57" t="s">
        <v>1238</v>
      </c>
    </row>
    <row r="96" spans="1:16">
      <c r="A96" s="8" t="s">
        <v>14</v>
      </c>
      <c r="B96" s="8" t="s">
        <v>20</v>
      </c>
      <c r="C96" s="10" t="s">
        <v>14</v>
      </c>
      <c r="D96" s="8" t="s">
        <v>16</v>
      </c>
      <c r="E96" s="7" t="str">
        <f t="shared" si="17"/>
        <v>01040102</v>
      </c>
      <c r="F96" s="1" t="s">
        <v>1219</v>
      </c>
      <c r="G96" s="1" t="str">
        <f t="shared" ref="G96:G101" si="24">"抽屉"&amp;B96&amp;"引导钻"</f>
        <v>抽屉04引导钻</v>
      </c>
      <c r="H96" t="str">
        <f t="shared" si="18"/>
        <v>行号01</v>
      </c>
      <c r="I96" s="1" t="str">
        <f t="shared" si="19"/>
        <v>序号02</v>
      </c>
      <c r="J96" s="36" t="s">
        <v>503</v>
      </c>
      <c r="K96" s="39">
        <v>0</v>
      </c>
      <c r="L96" s="39">
        <v>5</v>
      </c>
      <c r="M96" s="33"/>
      <c r="N96" s="39"/>
      <c r="O96" s="57" t="s">
        <v>1241</v>
      </c>
    </row>
    <row r="97" spans="1:15">
      <c r="A97" s="8" t="s">
        <v>14</v>
      </c>
      <c r="B97" s="8" t="s">
        <v>20</v>
      </c>
      <c r="C97" s="10" t="s">
        <v>14</v>
      </c>
      <c r="D97" s="8" t="s">
        <v>18</v>
      </c>
      <c r="E97" s="7" t="str">
        <f t="shared" si="17"/>
        <v>01040103</v>
      </c>
      <c r="F97" s="1" t="s">
        <v>1219</v>
      </c>
      <c r="G97" s="1" t="str">
        <f t="shared" si="24"/>
        <v>抽屉04引导钻</v>
      </c>
      <c r="H97" t="str">
        <f t="shared" si="18"/>
        <v>行号01</v>
      </c>
      <c r="I97" s="1" t="str">
        <f t="shared" si="19"/>
        <v>序号03</v>
      </c>
      <c r="J97" t="s">
        <v>504</v>
      </c>
      <c r="K97" s="39">
        <v>0</v>
      </c>
      <c r="L97" s="39">
        <v>5</v>
      </c>
      <c r="M97" s="33"/>
      <c r="N97" s="39"/>
      <c r="O97" s="57" t="s">
        <v>1238</v>
      </c>
    </row>
    <row r="98" spans="1:15">
      <c r="A98" s="8" t="s">
        <v>14</v>
      </c>
      <c r="B98" s="8" t="s">
        <v>20</v>
      </c>
      <c r="C98" s="10" t="s">
        <v>14</v>
      </c>
      <c r="D98" s="8" t="s">
        <v>20</v>
      </c>
      <c r="E98" s="7" t="str">
        <f t="shared" si="17"/>
        <v>01040104</v>
      </c>
      <c r="F98" s="1" t="s">
        <v>1219</v>
      </c>
      <c r="G98" s="1" t="str">
        <f t="shared" si="24"/>
        <v>抽屉04引导钻</v>
      </c>
      <c r="H98" t="str">
        <f t="shared" si="18"/>
        <v>行号01</v>
      </c>
      <c r="I98" s="1" t="str">
        <f t="shared" si="19"/>
        <v>序号04</v>
      </c>
      <c r="J98" t="s">
        <v>505</v>
      </c>
      <c r="K98" s="39">
        <v>0</v>
      </c>
      <c r="L98" s="39">
        <v>5</v>
      </c>
      <c r="M98" s="33"/>
      <c r="N98" s="39"/>
      <c r="O98" s="57" t="s">
        <v>1238</v>
      </c>
    </row>
    <row r="99" spans="1:15">
      <c r="A99" s="8" t="s">
        <v>14</v>
      </c>
      <c r="B99" s="8" t="s">
        <v>20</v>
      </c>
      <c r="C99" s="10" t="s">
        <v>14</v>
      </c>
      <c r="D99" s="8" t="s">
        <v>22</v>
      </c>
      <c r="E99" s="7" t="str">
        <f t="shared" si="17"/>
        <v>01040105</v>
      </c>
      <c r="F99" s="1" t="s">
        <v>1219</v>
      </c>
      <c r="G99" s="1" t="str">
        <f t="shared" si="24"/>
        <v>抽屉04引导钻</v>
      </c>
      <c r="H99" t="str">
        <f t="shared" si="18"/>
        <v>行号01</v>
      </c>
      <c r="I99" s="1" t="str">
        <f t="shared" si="19"/>
        <v>序号05</v>
      </c>
      <c r="J99" s="24"/>
      <c r="K99" s="41"/>
      <c r="L99" s="41"/>
      <c r="M99" s="42">
        <v>0</v>
      </c>
      <c r="N99" s="41">
        <v>0</v>
      </c>
    </row>
    <row r="100" spans="1:15">
      <c r="A100" s="8" t="s">
        <v>14</v>
      </c>
      <c r="B100" s="8" t="s">
        <v>20</v>
      </c>
      <c r="C100" s="10" t="s">
        <v>14</v>
      </c>
      <c r="D100" s="8" t="s">
        <v>24</v>
      </c>
      <c r="E100" s="7" t="str">
        <f t="shared" si="17"/>
        <v>01040106</v>
      </c>
      <c r="F100" s="1" t="s">
        <v>1219</v>
      </c>
      <c r="G100" s="1" t="str">
        <f t="shared" si="24"/>
        <v>抽屉04引导钻</v>
      </c>
      <c r="H100" t="str">
        <f t="shared" si="18"/>
        <v>行号01</v>
      </c>
      <c r="I100" s="1" t="str">
        <f t="shared" si="19"/>
        <v>序号06</v>
      </c>
      <c r="J100" s="24"/>
      <c r="K100" s="41"/>
      <c r="L100" s="41"/>
      <c r="M100" s="42">
        <v>0</v>
      </c>
      <c r="N100" s="41">
        <v>0</v>
      </c>
    </row>
    <row r="101" spans="1:15">
      <c r="A101" s="8" t="s">
        <v>14</v>
      </c>
      <c r="B101" s="8" t="s">
        <v>20</v>
      </c>
      <c r="C101" s="10" t="s">
        <v>14</v>
      </c>
      <c r="D101" s="8" t="s">
        <v>26</v>
      </c>
      <c r="E101" s="7" t="str">
        <f t="shared" si="17"/>
        <v>01040107</v>
      </c>
      <c r="F101" s="1" t="s">
        <v>1219</v>
      </c>
      <c r="G101" s="1" t="str">
        <f t="shared" si="24"/>
        <v>抽屉04引导钻</v>
      </c>
      <c r="H101" t="str">
        <f t="shared" si="18"/>
        <v>行号01</v>
      </c>
      <c r="I101" s="1" t="str">
        <f t="shared" si="19"/>
        <v>序号07</v>
      </c>
      <c r="J101" s="24"/>
      <c r="K101" s="41"/>
      <c r="L101" s="41"/>
      <c r="M101" s="42">
        <v>0</v>
      </c>
      <c r="N101" s="41">
        <v>0</v>
      </c>
    </row>
    <row r="102" spans="1:15">
      <c r="A102" s="8" t="s">
        <v>14</v>
      </c>
      <c r="B102" s="8" t="s">
        <v>20</v>
      </c>
      <c r="C102" s="10" t="s">
        <v>14</v>
      </c>
      <c r="D102" s="8" t="s">
        <v>28</v>
      </c>
      <c r="E102" s="7" t="str">
        <f t="shared" si="17"/>
        <v>01040108</v>
      </c>
      <c r="F102" s="1" t="s">
        <v>1219</v>
      </c>
      <c r="G102" s="1" t="str">
        <f>"抽屉"&amp;B102&amp;"引导钻"</f>
        <v>抽屉04引导钻</v>
      </c>
      <c r="H102" t="str">
        <f t="shared" si="18"/>
        <v>行号01</v>
      </c>
      <c r="I102" s="1" t="str">
        <f t="shared" si="19"/>
        <v>序号08</v>
      </c>
      <c r="J102" s="24"/>
      <c r="K102" s="41"/>
      <c r="L102" s="41"/>
      <c r="M102" s="42">
        <v>0</v>
      </c>
      <c r="N102" s="41">
        <v>0</v>
      </c>
    </row>
    <row r="103" spans="1:15">
      <c r="A103" s="8" t="s">
        <v>14</v>
      </c>
      <c r="B103" s="8" t="s">
        <v>20</v>
      </c>
      <c r="C103" s="8" t="s">
        <v>16</v>
      </c>
      <c r="D103" s="11" t="s">
        <v>14</v>
      </c>
      <c r="E103" s="7" t="str">
        <f t="shared" si="17"/>
        <v>01040201</v>
      </c>
      <c r="F103" s="1" t="s">
        <v>1219</v>
      </c>
      <c r="G103" s="1" t="str">
        <f t="shared" ref="G103:G126" si="25">"抽屉"&amp;B103&amp;"引导钻"</f>
        <v>抽屉04引导钻</v>
      </c>
      <c r="H103" t="str">
        <f t="shared" si="18"/>
        <v>行号02</v>
      </c>
      <c r="I103" s="1" t="str">
        <f t="shared" si="19"/>
        <v>序号01</v>
      </c>
      <c r="J103" s="38"/>
      <c r="K103" s="41"/>
      <c r="L103" s="41"/>
      <c r="M103" s="42">
        <v>0</v>
      </c>
      <c r="N103" s="41">
        <v>0</v>
      </c>
    </row>
    <row r="104" spans="1:15">
      <c r="A104" s="8" t="s">
        <v>14</v>
      </c>
      <c r="B104" s="8" t="s">
        <v>20</v>
      </c>
      <c r="C104" s="8" t="s">
        <v>16</v>
      </c>
      <c r="D104" s="11" t="s">
        <v>16</v>
      </c>
      <c r="E104" s="7" t="str">
        <f t="shared" si="17"/>
        <v>01040202</v>
      </c>
      <c r="F104" s="1" t="s">
        <v>1219</v>
      </c>
      <c r="G104" s="1" t="str">
        <f t="shared" si="25"/>
        <v>抽屉04引导钻</v>
      </c>
      <c r="H104" t="str">
        <f t="shared" si="18"/>
        <v>行号02</v>
      </c>
      <c r="I104" s="1" t="str">
        <f t="shared" si="19"/>
        <v>序号02</v>
      </c>
      <c r="J104" s="38"/>
      <c r="K104" s="41"/>
      <c r="L104" s="41"/>
      <c r="M104" s="42">
        <v>0</v>
      </c>
      <c r="N104" s="41">
        <v>0</v>
      </c>
    </row>
    <row r="105" spans="1:15">
      <c r="A105" s="8" t="s">
        <v>14</v>
      </c>
      <c r="B105" s="8" t="s">
        <v>20</v>
      </c>
      <c r="C105" s="8" t="s">
        <v>16</v>
      </c>
      <c r="D105" s="11" t="s">
        <v>18</v>
      </c>
      <c r="E105" s="7" t="str">
        <f t="shared" si="17"/>
        <v>01040203</v>
      </c>
      <c r="F105" s="1" t="s">
        <v>1219</v>
      </c>
      <c r="G105" s="1" t="str">
        <f t="shared" si="25"/>
        <v>抽屉04引导钻</v>
      </c>
      <c r="H105" t="str">
        <f t="shared" si="18"/>
        <v>行号02</v>
      </c>
      <c r="I105" s="1" t="str">
        <f t="shared" si="19"/>
        <v>序号03</v>
      </c>
      <c r="J105" s="38"/>
      <c r="K105" s="41"/>
      <c r="L105" s="41"/>
      <c r="M105" s="42">
        <v>0</v>
      </c>
      <c r="N105" s="41">
        <v>0</v>
      </c>
    </row>
    <row r="106" spans="1:15">
      <c r="A106" s="8" t="s">
        <v>14</v>
      </c>
      <c r="B106" s="8" t="s">
        <v>20</v>
      </c>
      <c r="C106" s="8" t="s">
        <v>16</v>
      </c>
      <c r="D106" s="11" t="s">
        <v>20</v>
      </c>
      <c r="E106" s="7" t="str">
        <f t="shared" si="17"/>
        <v>01040204</v>
      </c>
      <c r="F106" s="1" t="s">
        <v>1219</v>
      </c>
      <c r="G106" s="1" t="str">
        <f t="shared" si="25"/>
        <v>抽屉04引导钻</v>
      </c>
      <c r="H106" t="str">
        <f t="shared" si="18"/>
        <v>行号02</v>
      </c>
      <c r="I106" s="1" t="str">
        <f t="shared" si="19"/>
        <v>序号04</v>
      </c>
      <c r="J106" s="38"/>
      <c r="K106" s="41"/>
      <c r="L106" s="41"/>
      <c r="M106" s="42">
        <v>0</v>
      </c>
      <c r="N106" s="41">
        <v>0</v>
      </c>
    </row>
    <row r="107" spans="1:15">
      <c r="A107" s="8" t="s">
        <v>14</v>
      </c>
      <c r="B107" s="8" t="s">
        <v>20</v>
      </c>
      <c r="C107" s="8" t="s">
        <v>16</v>
      </c>
      <c r="D107" s="11" t="s">
        <v>22</v>
      </c>
      <c r="E107" s="7" t="str">
        <f t="shared" si="17"/>
        <v>01040205</v>
      </c>
      <c r="F107" s="1" t="s">
        <v>1219</v>
      </c>
      <c r="G107" s="1" t="str">
        <f t="shared" si="25"/>
        <v>抽屉04引导钻</v>
      </c>
      <c r="H107" t="str">
        <f t="shared" si="18"/>
        <v>行号02</v>
      </c>
      <c r="I107" s="1" t="str">
        <f t="shared" si="19"/>
        <v>序号05</v>
      </c>
      <c r="J107" s="24"/>
      <c r="K107" s="41"/>
      <c r="L107" s="41"/>
      <c r="M107" s="42">
        <v>0</v>
      </c>
      <c r="N107" s="41">
        <v>0</v>
      </c>
    </row>
    <row r="108" spans="1:15">
      <c r="A108" s="8" t="s">
        <v>14</v>
      </c>
      <c r="B108" s="8" t="s">
        <v>20</v>
      </c>
      <c r="C108" s="8" t="s">
        <v>16</v>
      </c>
      <c r="D108" s="11" t="s">
        <v>24</v>
      </c>
      <c r="E108" s="7" t="str">
        <f t="shared" si="17"/>
        <v>01040206</v>
      </c>
      <c r="F108" s="1" t="s">
        <v>1219</v>
      </c>
      <c r="G108" s="1" t="str">
        <f t="shared" si="25"/>
        <v>抽屉04引导钻</v>
      </c>
      <c r="H108" t="str">
        <f t="shared" si="18"/>
        <v>行号02</v>
      </c>
      <c r="I108" s="1" t="str">
        <f t="shared" si="19"/>
        <v>序号06</v>
      </c>
      <c r="J108" s="24"/>
      <c r="K108" s="41"/>
      <c r="L108" s="41"/>
      <c r="M108" s="42">
        <v>0</v>
      </c>
      <c r="N108" s="41">
        <v>0</v>
      </c>
    </row>
    <row r="109" spans="1:15">
      <c r="A109" s="8" t="s">
        <v>14</v>
      </c>
      <c r="B109" s="8" t="s">
        <v>20</v>
      </c>
      <c r="C109" s="8" t="s">
        <v>16</v>
      </c>
      <c r="D109" s="11" t="s">
        <v>26</v>
      </c>
      <c r="E109" s="7" t="str">
        <f t="shared" si="17"/>
        <v>01040207</v>
      </c>
      <c r="F109" s="1" t="s">
        <v>1219</v>
      </c>
      <c r="G109" s="1" t="str">
        <f t="shared" si="25"/>
        <v>抽屉04引导钻</v>
      </c>
      <c r="H109" t="str">
        <f t="shared" si="18"/>
        <v>行号02</v>
      </c>
      <c r="I109" s="1" t="str">
        <f t="shared" si="19"/>
        <v>序号07</v>
      </c>
      <c r="J109" s="24"/>
      <c r="K109" s="41"/>
      <c r="L109" s="41"/>
      <c r="M109" s="42">
        <v>0</v>
      </c>
      <c r="N109" s="41">
        <v>0</v>
      </c>
    </row>
    <row r="110" spans="1:15">
      <c r="A110" s="8" t="s">
        <v>14</v>
      </c>
      <c r="B110" s="8" t="s">
        <v>20</v>
      </c>
      <c r="C110" s="8" t="s">
        <v>16</v>
      </c>
      <c r="D110" s="11" t="s">
        <v>28</v>
      </c>
      <c r="E110" s="7" t="str">
        <f t="shared" si="17"/>
        <v>01040208</v>
      </c>
      <c r="F110" s="1" t="s">
        <v>1219</v>
      </c>
      <c r="G110" s="1" t="str">
        <f t="shared" si="25"/>
        <v>抽屉04引导钻</v>
      </c>
      <c r="H110" t="str">
        <f t="shared" si="18"/>
        <v>行号02</v>
      </c>
      <c r="I110" s="1" t="str">
        <f t="shared" si="19"/>
        <v>序号08</v>
      </c>
      <c r="J110" s="24"/>
      <c r="K110" s="41"/>
      <c r="L110" s="41"/>
      <c r="M110" s="42">
        <v>0</v>
      </c>
      <c r="N110" s="41">
        <v>0</v>
      </c>
    </row>
    <row r="111" spans="1:15">
      <c r="A111" s="8" t="s">
        <v>14</v>
      </c>
      <c r="B111" s="8" t="s">
        <v>20</v>
      </c>
      <c r="C111" s="10" t="s">
        <v>18</v>
      </c>
      <c r="D111" s="8" t="s">
        <v>14</v>
      </c>
      <c r="E111" s="7" t="str">
        <f t="shared" si="17"/>
        <v>01040301</v>
      </c>
      <c r="F111" s="1" t="s">
        <v>1219</v>
      </c>
      <c r="G111" s="1" t="str">
        <f t="shared" si="25"/>
        <v>抽屉04引导钻</v>
      </c>
      <c r="H111" t="str">
        <f t="shared" si="18"/>
        <v>行号03</v>
      </c>
      <c r="I111" s="1" t="str">
        <f t="shared" si="19"/>
        <v>序号01</v>
      </c>
      <c r="J111" s="24"/>
      <c r="K111" s="41"/>
      <c r="L111" s="41"/>
      <c r="M111" s="42">
        <v>0</v>
      </c>
      <c r="N111" s="41">
        <v>0</v>
      </c>
    </row>
    <row r="112" spans="1:15">
      <c r="A112" s="8" t="s">
        <v>14</v>
      </c>
      <c r="B112" s="8" t="s">
        <v>20</v>
      </c>
      <c r="C112" s="10" t="s">
        <v>18</v>
      </c>
      <c r="D112" s="8" t="s">
        <v>16</v>
      </c>
      <c r="E112" s="7" t="str">
        <f t="shared" si="17"/>
        <v>01040302</v>
      </c>
      <c r="F112" s="1" t="s">
        <v>1219</v>
      </c>
      <c r="G112" s="1" t="str">
        <f t="shared" si="25"/>
        <v>抽屉04引导钻</v>
      </c>
      <c r="H112" t="str">
        <f t="shared" si="18"/>
        <v>行号03</v>
      </c>
      <c r="I112" s="1" t="str">
        <f t="shared" si="19"/>
        <v>序号02</v>
      </c>
      <c r="J112" s="24"/>
      <c r="K112" s="41"/>
      <c r="L112" s="41"/>
      <c r="M112" s="42">
        <v>0</v>
      </c>
      <c r="N112" s="41">
        <v>0</v>
      </c>
    </row>
    <row r="113" spans="1:16">
      <c r="A113" s="8" t="s">
        <v>14</v>
      </c>
      <c r="B113" s="8" t="s">
        <v>20</v>
      </c>
      <c r="C113" s="10" t="s">
        <v>18</v>
      </c>
      <c r="D113" s="8" t="s">
        <v>18</v>
      </c>
      <c r="E113" s="7" t="str">
        <f t="shared" si="17"/>
        <v>01040303</v>
      </c>
      <c r="F113" s="1" t="s">
        <v>1219</v>
      </c>
      <c r="G113" s="1" t="str">
        <f t="shared" si="25"/>
        <v>抽屉04引导钻</v>
      </c>
      <c r="H113" t="str">
        <f t="shared" si="18"/>
        <v>行号03</v>
      </c>
      <c r="I113" s="1" t="str">
        <f t="shared" si="19"/>
        <v>序号03</v>
      </c>
      <c r="J113" s="24"/>
      <c r="K113" s="41"/>
      <c r="L113" s="41"/>
      <c r="M113" s="42">
        <v>0</v>
      </c>
      <c r="N113" s="41">
        <v>0</v>
      </c>
    </row>
    <row r="114" spans="1:16">
      <c r="A114" s="8" t="s">
        <v>14</v>
      </c>
      <c r="B114" s="8" t="s">
        <v>20</v>
      </c>
      <c r="C114" s="10" t="s">
        <v>18</v>
      </c>
      <c r="D114" s="8" t="s">
        <v>20</v>
      </c>
      <c r="E114" s="7" t="str">
        <f t="shared" si="17"/>
        <v>01040304</v>
      </c>
      <c r="F114" s="1" t="s">
        <v>1219</v>
      </c>
      <c r="G114" s="1" t="str">
        <f t="shared" si="25"/>
        <v>抽屉04引导钻</v>
      </c>
      <c r="H114" t="str">
        <f t="shared" si="18"/>
        <v>行号03</v>
      </c>
      <c r="I114" s="1" t="str">
        <f t="shared" si="19"/>
        <v>序号04</v>
      </c>
      <c r="J114" s="24"/>
      <c r="K114" s="41"/>
      <c r="L114" s="41"/>
      <c r="M114" s="42">
        <v>0</v>
      </c>
      <c r="N114" s="41">
        <v>0</v>
      </c>
    </row>
    <row r="115" spans="1:16">
      <c r="A115" s="8" t="s">
        <v>14</v>
      </c>
      <c r="B115" s="8" t="s">
        <v>20</v>
      </c>
      <c r="C115" s="10" t="s">
        <v>18</v>
      </c>
      <c r="D115" s="8" t="s">
        <v>22</v>
      </c>
      <c r="E115" s="7" t="str">
        <f t="shared" si="17"/>
        <v>01040305</v>
      </c>
      <c r="F115" s="1" t="s">
        <v>1219</v>
      </c>
      <c r="G115" s="1" t="str">
        <f t="shared" si="25"/>
        <v>抽屉04引导钻</v>
      </c>
      <c r="H115" t="str">
        <f t="shared" si="18"/>
        <v>行号03</v>
      </c>
      <c r="I115" s="1" t="str">
        <f t="shared" si="19"/>
        <v>序号05</v>
      </c>
      <c r="J115" s="24"/>
      <c r="K115" s="41"/>
      <c r="L115" s="41"/>
      <c r="M115" s="42">
        <v>0</v>
      </c>
      <c r="N115" s="41">
        <v>0</v>
      </c>
    </row>
    <row r="116" spans="1:16">
      <c r="A116" s="8" t="s">
        <v>14</v>
      </c>
      <c r="B116" s="8" t="s">
        <v>20</v>
      </c>
      <c r="C116" s="10" t="s">
        <v>18</v>
      </c>
      <c r="D116" s="8" t="s">
        <v>24</v>
      </c>
      <c r="E116" s="7" t="str">
        <f t="shared" si="17"/>
        <v>01040306</v>
      </c>
      <c r="F116" s="1" t="s">
        <v>1219</v>
      </c>
      <c r="G116" s="1" t="str">
        <f t="shared" si="25"/>
        <v>抽屉04引导钻</v>
      </c>
      <c r="H116" t="str">
        <f t="shared" si="18"/>
        <v>行号03</v>
      </c>
      <c r="I116" s="1" t="str">
        <f t="shared" si="19"/>
        <v>序号06</v>
      </c>
      <c r="J116" s="24"/>
      <c r="K116" s="41"/>
      <c r="L116" s="41"/>
      <c r="M116" s="42">
        <v>0</v>
      </c>
      <c r="N116" s="41">
        <v>0</v>
      </c>
    </row>
    <row r="117" spans="1:16">
      <c r="A117" s="8" t="s">
        <v>14</v>
      </c>
      <c r="B117" s="8" t="s">
        <v>20</v>
      </c>
      <c r="C117" s="10" t="s">
        <v>18</v>
      </c>
      <c r="D117" s="8" t="s">
        <v>26</v>
      </c>
      <c r="E117" s="7" t="str">
        <f t="shared" si="17"/>
        <v>01040307</v>
      </c>
      <c r="F117" s="1" t="s">
        <v>1219</v>
      </c>
      <c r="G117" s="1" t="str">
        <f t="shared" si="25"/>
        <v>抽屉04引导钻</v>
      </c>
      <c r="H117" t="str">
        <f t="shared" si="18"/>
        <v>行号03</v>
      </c>
      <c r="I117" s="1" t="str">
        <f t="shared" si="19"/>
        <v>序号07</v>
      </c>
      <c r="J117" s="24"/>
      <c r="K117" s="41"/>
      <c r="L117" s="41"/>
      <c r="M117" s="42">
        <v>0</v>
      </c>
      <c r="N117" s="41">
        <v>0</v>
      </c>
    </row>
    <row r="118" spans="1:16">
      <c r="A118" s="8" t="s">
        <v>14</v>
      </c>
      <c r="B118" s="8" t="s">
        <v>20</v>
      </c>
      <c r="C118" s="10" t="s">
        <v>18</v>
      </c>
      <c r="D118" s="8" t="s">
        <v>28</v>
      </c>
      <c r="E118" s="7" t="str">
        <f t="shared" si="17"/>
        <v>01040308</v>
      </c>
      <c r="F118" s="1" t="s">
        <v>1219</v>
      </c>
      <c r="G118" s="1" t="str">
        <f t="shared" si="25"/>
        <v>抽屉04引导钻</v>
      </c>
      <c r="H118" t="str">
        <f t="shared" si="18"/>
        <v>行号03</v>
      </c>
      <c r="I118" s="1" t="str">
        <f t="shared" si="19"/>
        <v>序号08</v>
      </c>
      <c r="J118" s="24"/>
      <c r="K118" s="41"/>
      <c r="L118" s="41"/>
      <c r="M118" s="42">
        <v>0</v>
      </c>
      <c r="N118" s="41">
        <v>0</v>
      </c>
    </row>
    <row r="119" spans="1:16">
      <c r="A119" s="8" t="s">
        <v>14</v>
      </c>
      <c r="B119" s="8" t="s">
        <v>20</v>
      </c>
      <c r="C119" s="8" t="s">
        <v>20</v>
      </c>
      <c r="D119" s="11" t="s">
        <v>14</v>
      </c>
      <c r="E119" s="7" t="str">
        <f t="shared" si="17"/>
        <v>01040401</v>
      </c>
      <c r="F119" s="1" t="s">
        <v>1219</v>
      </c>
      <c r="G119" s="1" t="str">
        <f t="shared" si="25"/>
        <v>抽屉04引导钻</v>
      </c>
      <c r="H119" t="str">
        <f t="shared" si="18"/>
        <v>行号04</v>
      </c>
      <c r="I119" s="1" t="str">
        <f t="shared" si="19"/>
        <v>序号01</v>
      </c>
      <c r="J119" s="24"/>
      <c r="K119" s="41"/>
      <c r="L119" s="41"/>
      <c r="M119" s="42">
        <v>0</v>
      </c>
      <c r="N119" s="41">
        <v>0</v>
      </c>
    </row>
    <row r="120" spans="1:16">
      <c r="A120" s="8" t="s">
        <v>14</v>
      </c>
      <c r="B120" s="8" t="s">
        <v>20</v>
      </c>
      <c r="C120" s="8" t="s">
        <v>20</v>
      </c>
      <c r="D120" s="11" t="s">
        <v>16</v>
      </c>
      <c r="E120" s="7" t="str">
        <f t="shared" si="17"/>
        <v>01040402</v>
      </c>
      <c r="F120" s="1" t="s">
        <v>1219</v>
      </c>
      <c r="G120" s="1" t="str">
        <f t="shared" si="25"/>
        <v>抽屉04引导钻</v>
      </c>
      <c r="H120" t="str">
        <f t="shared" si="18"/>
        <v>行号04</v>
      </c>
      <c r="I120" s="1" t="str">
        <f t="shared" si="19"/>
        <v>序号02</v>
      </c>
      <c r="J120" s="24"/>
      <c r="K120" s="41"/>
      <c r="L120" s="41"/>
      <c r="M120" s="42">
        <v>0</v>
      </c>
      <c r="N120" s="41">
        <v>0</v>
      </c>
    </row>
    <row r="121" spans="1:16">
      <c r="A121" s="8" t="s">
        <v>14</v>
      </c>
      <c r="B121" s="8" t="s">
        <v>20</v>
      </c>
      <c r="C121" s="8" t="s">
        <v>20</v>
      </c>
      <c r="D121" s="11" t="s">
        <v>18</v>
      </c>
      <c r="E121" s="7" t="str">
        <f t="shared" si="17"/>
        <v>01040403</v>
      </c>
      <c r="F121" s="1" t="s">
        <v>1219</v>
      </c>
      <c r="G121" s="1" t="str">
        <f t="shared" si="25"/>
        <v>抽屉04引导钻</v>
      </c>
      <c r="H121" t="str">
        <f t="shared" si="18"/>
        <v>行号04</v>
      </c>
      <c r="I121" s="1" t="str">
        <f t="shared" si="19"/>
        <v>序号03</v>
      </c>
      <c r="J121" s="24"/>
      <c r="K121" s="41"/>
      <c r="L121" s="41"/>
      <c r="M121" s="42">
        <v>0</v>
      </c>
      <c r="N121" s="41">
        <v>0</v>
      </c>
    </row>
    <row r="122" spans="1:16">
      <c r="A122" s="8" t="s">
        <v>14</v>
      </c>
      <c r="B122" s="8" t="s">
        <v>20</v>
      </c>
      <c r="C122" s="8" t="s">
        <v>20</v>
      </c>
      <c r="D122" s="11" t="s">
        <v>20</v>
      </c>
      <c r="E122" s="7" t="str">
        <f t="shared" si="17"/>
        <v>01040404</v>
      </c>
      <c r="F122" s="1" t="s">
        <v>1219</v>
      </c>
      <c r="G122" s="1" t="str">
        <f t="shared" si="25"/>
        <v>抽屉04引导钻</v>
      </c>
      <c r="H122" t="str">
        <f t="shared" si="18"/>
        <v>行号04</v>
      </c>
      <c r="I122" s="1" t="str">
        <f t="shared" si="19"/>
        <v>序号04</v>
      </c>
      <c r="J122" s="24"/>
      <c r="K122" s="41"/>
      <c r="L122" s="41"/>
      <c r="M122" s="42">
        <v>0</v>
      </c>
      <c r="N122" s="41">
        <v>0</v>
      </c>
    </row>
    <row r="123" spans="1:16">
      <c r="A123" s="8" t="s">
        <v>14</v>
      </c>
      <c r="B123" s="8" t="s">
        <v>20</v>
      </c>
      <c r="C123" s="8" t="s">
        <v>20</v>
      </c>
      <c r="D123" s="11" t="s">
        <v>22</v>
      </c>
      <c r="E123" s="7" t="str">
        <f t="shared" si="17"/>
        <v>01040405</v>
      </c>
      <c r="F123" s="1" t="s">
        <v>1219</v>
      </c>
      <c r="G123" s="1" t="str">
        <f t="shared" si="25"/>
        <v>抽屉04引导钻</v>
      </c>
      <c r="H123" t="str">
        <f t="shared" si="18"/>
        <v>行号04</v>
      </c>
      <c r="I123" s="1" t="str">
        <f t="shared" si="19"/>
        <v>序号05</v>
      </c>
      <c r="J123" s="24"/>
      <c r="K123" s="41"/>
      <c r="L123" s="41"/>
      <c r="M123" s="42">
        <v>0</v>
      </c>
      <c r="N123" s="41">
        <v>0</v>
      </c>
    </row>
    <row r="124" spans="1:16">
      <c r="A124" s="8" t="s">
        <v>14</v>
      </c>
      <c r="B124" s="8" t="s">
        <v>20</v>
      </c>
      <c r="C124" s="8" t="s">
        <v>20</v>
      </c>
      <c r="D124" s="11" t="s">
        <v>24</v>
      </c>
      <c r="E124" s="7" t="str">
        <f t="shared" si="17"/>
        <v>01040406</v>
      </c>
      <c r="F124" s="1" t="s">
        <v>1219</v>
      </c>
      <c r="G124" s="1" t="str">
        <f t="shared" si="25"/>
        <v>抽屉04引导钻</v>
      </c>
      <c r="H124" t="str">
        <f t="shared" si="18"/>
        <v>行号04</v>
      </c>
      <c r="I124" s="1" t="str">
        <f t="shared" si="19"/>
        <v>序号06</v>
      </c>
      <c r="J124" s="24"/>
      <c r="K124" s="41"/>
      <c r="L124" s="41"/>
      <c r="M124" s="42">
        <v>0</v>
      </c>
      <c r="N124" s="41">
        <v>0</v>
      </c>
    </row>
    <row r="125" spans="1:16">
      <c r="A125" s="8" t="s">
        <v>14</v>
      </c>
      <c r="B125" s="8" t="s">
        <v>20</v>
      </c>
      <c r="C125" s="8" t="s">
        <v>20</v>
      </c>
      <c r="D125" s="11" t="s">
        <v>26</v>
      </c>
      <c r="E125" s="7" t="str">
        <f t="shared" si="17"/>
        <v>01040407</v>
      </c>
      <c r="F125" s="1" t="s">
        <v>1219</v>
      </c>
      <c r="G125" s="1" t="str">
        <f t="shared" si="25"/>
        <v>抽屉04引导钻</v>
      </c>
      <c r="H125" t="str">
        <f t="shared" si="18"/>
        <v>行号04</v>
      </c>
      <c r="I125" s="1" t="str">
        <f t="shared" si="19"/>
        <v>序号07</v>
      </c>
      <c r="J125" s="24"/>
      <c r="K125" s="41"/>
      <c r="L125" s="41"/>
      <c r="M125" s="42">
        <v>0</v>
      </c>
      <c r="N125" s="41">
        <v>0</v>
      </c>
    </row>
    <row r="126" spans="1:16">
      <c r="A126" s="8" t="s">
        <v>14</v>
      </c>
      <c r="B126" s="8" t="s">
        <v>20</v>
      </c>
      <c r="C126" s="8" t="s">
        <v>20</v>
      </c>
      <c r="D126" s="11" t="s">
        <v>28</v>
      </c>
      <c r="E126" s="7" t="str">
        <f t="shared" si="17"/>
        <v>01040408</v>
      </c>
      <c r="F126" s="1" t="s">
        <v>1219</v>
      </c>
      <c r="G126" s="1" t="str">
        <f t="shared" si="25"/>
        <v>抽屉04引导钻</v>
      </c>
      <c r="H126" t="str">
        <f t="shared" si="18"/>
        <v>行号04</v>
      </c>
      <c r="I126" s="1" t="str">
        <f t="shared" si="19"/>
        <v>序号08</v>
      </c>
      <c r="J126" s="24"/>
      <c r="K126" s="41"/>
      <c r="L126" s="41"/>
      <c r="M126" s="42">
        <v>0</v>
      </c>
      <c r="N126" s="41">
        <v>0</v>
      </c>
    </row>
    <row r="127" spans="1:16">
      <c r="A127" s="8" t="s">
        <v>14</v>
      </c>
      <c r="B127" s="9" t="s">
        <v>22</v>
      </c>
      <c r="C127" s="10" t="s">
        <v>14</v>
      </c>
      <c r="D127" s="8" t="s">
        <v>14</v>
      </c>
      <c r="E127" s="7" t="str">
        <f t="shared" si="17"/>
        <v>01050101</v>
      </c>
      <c r="F127" s="1" t="s">
        <v>1219</v>
      </c>
      <c r="G127" s="1" t="str">
        <f>"抽屉"&amp;B127&amp;"台阶钻490"</f>
        <v>抽屉05台阶钻490</v>
      </c>
      <c r="H127" t="str">
        <f t="shared" si="18"/>
        <v>行号01</v>
      </c>
      <c r="I127" s="1" t="str">
        <f t="shared" si="19"/>
        <v>序号01</v>
      </c>
      <c r="J127" t="s">
        <v>506</v>
      </c>
      <c r="K127" s="39">
        <v>0</v>
      </c>
      <c r="L127" s="39">
        <v>5</v>
      </c>
      <c r="M127" s="33"/>
      <c r="N127" s="39"/>
      <c r="O127" s="32" t="s">
        <v>1233</v>
      </c>
    </row>
    <row r="128" spans="1:16">
      <c r="A128" s="8" t="s">
        <v>14</v>
      </c>
      <c r="B128" s="9" t="s">
        <v>22</v>
      </c>
      <c r="C128" s="10" t="s">
        <v>14</v>
      </c>
      <c r="D128" s="8" t="s">
        <v>16</v>
      </c>
      <c r="E128" s="7" t="str">
        <f t="shared" si="17"/>
        <v>01050102</v>
      </c>
      <c r="F128" s="1" t="s">
        <v>1219</v>
      </c>
      <c r="G128" s="1" t="str">
        <f t="shared" ref="G128:G158" si="26">"抽屉"&amp;B128&amp;"台阶钻490"</f>
        <v>抽屉05台阶钻490</v>
      </c>
      <c r="H128" t="str">
        <f t="shared" si="18"/>
        <v>行号01</v>
      </c>
      <c r="I128" s="1" t="str">
        <f t="shared" si="19"/>
        <v>序号02</v>
      </c>
      <c r="J128" t="s">
        <v>507</v>
      </c>
      <c r="K128" s="39">
        <v>0</v>
      </c>
      <c r="L128" s="39">
        <v>5</v>
      </c>
      <c r="M128" s="33"/>
      <c r="N128" s="39"/>
      <c r="O128" s="32" t="s">
        <v>1233</v>
      </c>
      <c r="P128" s="34">
        <v>787138</v>
      </c>
    </row>
    <row r="129" spans="1:16">
      <c r="A129" s="8" t="s">
        <v>14</v>
      </c>
      <c r="B129" s="9" t="s">
        <v>22</v>
      </c>
      <c r="C129" s="10" t="s">
        <v>14</v>
      </c>
      <c r="D129" s="8" t="s">
        <v>18</v>
      </c>
      <c r="E129" s="7" t="str">
        <f t="shared" si="17"/>
        <v>01050103</v>
      </c>
      <c r="F129" s="1" t="s">
        <v>1219</v>
      </c>
      <c r="G129" s="1" t="str">
        <f t="shared" si="26"/>
        <v>抽屉05台阶钻490</v>
      </c>
      <c r="H129" t="str">
        <f t="shared" si="18"/>
        <v>行号01</v>
      </c>
      <c r="I129" s="1" t="str">
        <f t="shared" si="19"/>
        <v>序号03</v>
      </c>
      <c r="J129" t="s">
        <v>508</v>
      </c>
      <c r="K129" s="39">
        <v>0</v>
      </c>
      <c r="L129" s="39">
        <v>5</v>
      </c>
      <c r="M129" s="33"/>
      <c r="N129" s="39"/>
      <c r="O129" s="57" t="s">
        <v>1239</v>
      </c>
      <c r="P129" s="34">
        <v>787128</v>
      </c>
    </row>
    <row r="130" spans="1:16">
      <c r="A130" s="8" t="s">
        <v>14</v>
      </c>
      <c r="B130" s="9" t="s">
        <v>22</v>
      </c>
      <c r="C130" s="10" t="s">
        <v>14</v>
      </c>
      <c r="D130" s="8" t="s">
        <v>20</v>
      </c>
      <c r="E130" s="7" t="str">
        <f t="shared" si="17"/>
        <v>01050104</v>
      </c>
      <c r="F130" s="1" t="s">
        <v>1219</v>
      </c>
      <c r="G130" s="1" t="str">
        <f t="shared" si="26"/>
        <v>抽屉05台阶钻490</v>
      </c>
      <c r="H130" t="str">
        <f t="shared" si="18"/>
        <v>行号01</v>
      </c>
      <c r="I130" s="1" t="str">
        <f t="shared" si="19"/>
        <v>序号04</v>
      </c>
      <c r="J130" t="s">
        <v>509</v>
      </c>
      <c r="K130" s="39">
        <v>0</v>
      </c>
      <c r="L130" s="39">
        <v>5</v>
      </c>
      <c r="M130" s="33"/>
      <c r="N130" s="39"/>
      <c r="O130" s="57" t="s">
        <v>1239</v>
      </c>
      <c r="P130" s="34">
        <v>787133</v>
      </c>
    </row>
    <row r="131" spans="1:16">
      <c r="A131" s="8" t="s">
        <v>14</v>
      </c>
      <c r="B131" s="9" t="s">
        <v>22</v>
      </c>
      <c r="C131" s="10" t="s">
        <v>14</v>
      </c>
      <c r="D131" s="8" t="s">
        <v>22</v>
      </c>
      <c r="E131" s="7" t="str">
        <f t="shared" si="17"/>
        <v>01050105</v>
      </c>
      <c r="F131" s="1" t="s">
        <v>1219</v>
      </c>
      <c r="G131" s="1" t="str">
        <f t="shared" si="26"/>
        <v>抽屉05台阶钻490</v>
      </c>
      <c r="H131" t="str">
        <f t="shared" si="18"/>
        <v>行号01</v>
      </c>
      <c r="I131" s="1" t="str">
        <f t="shared" si="19"/>
        <v>序号05</v>
      </c>
      <c r="J131" t="s">
        <v>510</v>
      </c>
      <c r="K131" s="39">
        <v>0</v>
      </c>
      <c r="L131" s="39">
        <v>5</v>
      </c>
      <c r="M131" s="33"/>
      <c r="N131" s="39"/>
      <c r="O131" s="57" t="s">
        <v>1239</v>
      </c>
      <c r="P131" s="34">
        <v>980868</v>
      </c>
    </row>
    <row r="132" spans="1:16">
      <c r="A132" s="8" t="s">
        <v>14</v>
      </c>
      <c r="B132" s="9" t="s">
        <v>22</v>
      </c>
      <c r="C132" s="10" t="s">
        <v>14</v>
      </c>
      <c r="D132" s="8" t="s">
        <v>24</v>
      </c>
      <c r="E132" s="7" t="str">
        <f t="shared" si="17"/>
        <v>01050106</v>
      </c>
      <c r="F132" s="1" t="s">
        <v>1219</v>
      </c>
      <c r="G132" s="1" t="str">
        <f t="shared" si="26"/>
        <v>抽屉05台阶钻490</v>
      </c>
      <c r="H132" t="str">
        <f t="shared" si="18"/>
        <v>行号01</v>
      </c>
      <c r="I132" s="1" t="str">
        <f t="shared" si="19"/>
        <v>序号06</v>
      </c>
      <c r="J132" t="s">
        <v>511</v>
      </c>
      <c r="K132" s="39">
        <v>0</v>
      </c>
      <c r="L132" s="39">
        <v>5</v>
      </c>
      <c r="M132" s="33"/>
      <c r="N132" s="39"/>
      <c r="O132" s="32" t="s">
        <v>1233</v>
      </c>
      <c r="P132" s="34">
        <v>787110</v>
      </c>
    </row>
    <row r="133" spans="1:16">
      <c r="A133" s="8" t="s">
        <v>14</v>
      </c>
      <c r="B133" s="9" t="s">
        <v>22</v>
      </c>
      <c r="C133" s="10" t="s">
        <v>14</v>
      </c>
      <c r="D133" s="8" t="s">
        <v>26</v>
      </c>
      <c r="E133" s="7" t="str">
        <f t="shared" si="17"/>
        <v>01050107</v>
      </c>
      <c r="F133" s="1" t="s">
        <v>1219</v>
      </c>
      <c r="G133" s="1" t="str">
        <f t="shared" si="26"/>
        <v>抽屉05台阶钻490</v>
      </c>
      <c r="H133" t="str">
        <f t="shared" si="18"/>
        <v>行号01</v>
      </c>
      <c r="I133" s="1" t="str">
        <f t="shared" si="19"/>
        <v>序号07</v>
      </c>
      <c r="J133" t="s">
        <v>512</v>
      </c>
      <c r="K133" s="39">
        <v>0</v>
      </c>
      <c r="L133" s="39">
        <v>5</v>
      </c>
      <c r="M133" s="48"/>
      <c r="N133" s="48"/>
      <c r="O133" s="32" t="s">
        <v>1233</v>
      </c>
      <c r="P133" s="34">
        <v>787107</v>
      </c>
    </row>
    <row r="134" spans="1:16">
      <c r="A134" s="8" t="s">
        <v>14</v>
      </c>
      <c r="B134" s="9" t="s">
        <v>22</v>
      </c>
      <c r="C134" s="10" t="s">
        <v>14</v>
      </c>
      <c r="D134" s="8" t="s">
        <v>28</v>
      </c>
      <c r="E134" s="7" t="str">
        <f t="shared" si="17"/>
        <v>01050108</v>
      </c>
      <c r="F134" s="1" t="s">
        <v>1219</v>
      </c>
      <c r="G134" s="1" t="str">
        <f t="shared" si="26"/>
        <v>抽屉05台阶钻490</v>
      </c>
      <c r="H134" t="str">
        <f t="shared" si="18"/>
        <v>行号01</v>
      </c>
      <c r="I134" s="1" t="str">
        <f t="shared" si="19"/>
        <v>序号08</v>
      </c>
      <c r="J134" t="s">
        <v>513</v>
      </c>
      <c r="K134" s="39">
        <v>0</v>
      </c>
      <c r="L134" s="39">
        <v>5</v>
      </c>
      <c r="M134" s="33"/>
      <c r="N134" s="39"/>
      <c r="O134" s="32" t="s">
        <v>1233</v>
      </c>
      <c r="P134" s="34">
        <v>787131</v>
      </c>
    </row>
    <row r="135" spans="1:16">
      <c r="A135" s="8" t="s">
        <v>14</v>
      </c>
      <c r="B135" s="9" t="s">
        <v>22</v>
      </c>
      <c r="C135" s="8" t="s">
        <v>16</v>
      </c>
      <c r="D135" s="11" t="s">
        <v>14</v>
      </c>
      <c r="E135" s="7" t="str">
        <f t="shared" ref="E135:E198" si="27">A135&amp;B135&amp;C135&amp;D135</f>
        <v>01050201</v>
      </c>
      <c r="F135" s="1" t="s">
        <v>1219</v>
      </c>
      <c r="G135" s="1" t="str">
        <f t="shared" si="26"/>
        <v>抽屉05台阶钻490</v>
      </c>
      <c r="H135" t="str">
        <f t="shared" ref="H135:H198" si="28">"行号"&amp;C135</f>
        <v>行号02</v>
      </c>
      <c r="I135" s="1" t="str">
        <f t="shared" ref="I135:I198" si="29">"序号"&amp;D135</f>
        <v>序号01</v>
      </c>
      <c r="J135" s="36" t="s">
        <v>514</v>
      </c>
      <c r="K135" s="39">
        <v>0</v>
      </c>
      <c r="L135" s="39">
        <v>5</v>
      </c>
      <c r="M135" s="33"/>
      <c r="N135" s="39"/>
      <c r="O135" s="57" t="s">
        <v>1239</v>
      </c>
      <c r="P135" s="34">
        <v>787127</v>
      </c>
    </row>
    <row r="136" spans="1:16">
      <c r="A136" s="8" t="s">
        <v>14</v>
      </c>
      <c r="B136" s="9" t="s">
        <v>22</v>
      </c>
      <c r="C136" s="8" t="s">
        <v>16</v>
      </c>
      <c r="D136" s="11" t="s">
        <v>16</v>
      </c>
      <c r="E136" s="7" t="str">
        <f t="shared" si="27"/>
        <v>01050202</v>
      </c>
      <c r="F136" s="1" t="s">
        <v>1219</v>
      </c>
      <c r="G136" s="1" t="str">
        <f t="shared" si="26"/>
        <v>抽屉05台阶钻490</v>
      </c>
      <c r="H136" t="str">
        <f t="shared" si="28"/>
        <v>行号02</v>
      </c>
      <c r="I136" s="1" t="str">
        <f t="shared" si="29"/>
        <v>序号02</v>
      </c>
      <c r="J136" s="36" t="s">
        <v>515</v>
      </c>
      <c r="K136" s="39">
        <v>0</v>
      </c>
      <c r="L136" s="39">
        <v>5</v>
      </c>
      <c r="M136" s="33"/>
      <c r="N136" s="39"/>
      <c r="O136" s="57" t="s">
        <v>1239</v>
      </c>
      <c r="P136" s="34">
        <v>787135</v>
      </c>
    </row>
    <row r="137" spans="1:16">
      <c r="A137" s="8" t="s">
        <v>14</v>
      </c>
      <c r="B137" s="9" t="s">
        <v>22</v>
      </c>
      <c r="C137" s="8" t="s">
        <v>16</v>
      </c>
      <c r="D137" s="11" t="s">
        <v>18</v>
      </c>
      <c r="E137" s="7" t="str">
        <f t="shared" si="27"/>
        <v>01050203</v>
      </c>
      <c r="F137" s="1" t="s">
        <v>1219</v>
      </c>
      <c r="G137" s="1" t="str">
        <f t="shared" si="26"/>
        <v>抽屉05台阶钻490</v>
      </c>
      <c r="H137" t="str">
        <f t="shared" si="28"/>
        <v>行号02</v>
      </c>
      <c r="I137" s="1" t="str">
        <f t="shared" si="29"/>
        <v>序号03</v>
      </c>
      <c r="J137" s="36" t="s">
        <v>516</v>
      </c>
      <c r="K137" s="39">
        <v>0</v>
      </c>
      <c r="L137" s="39">
        <v>5</v>
      </c>
      <c r="M137" s="33"/>
      <c r="N137" s="39"/>
      <c r="O137" s="57" t="s">
        <v>1239</v>
      </c>
      <c r="P137" s="34">
        <v>787121</v>
      </c>
    </row>
    <row r="138" spans="1:16">
      <c r="A138" s="8" t="s">
        <v>14</v>
      </c>
      <c r="B138" s="9" t="s">
        <v>22</v>
      </c>
      <c r="C138" s="8" t="s">
        <v>16</v>
      </c>
      <c r="D138" s="11" t="s">
        <v>20</v>
      </c>
      <c r="E138" s="7" t="str">
        <f t="shared" si="27"/>
        <v>01050204</v>
      </c>
      <c r="F138" s="1" t="s">
        <v>1219</v>
      </c>
      <c r="G138" s="1" t="str">
        <f t="shared" si="26"/>
        <v>抽屉05台阶钻490</v>
      </c>
      <c r="H138" t="str">
        <f t="shared" si="28"/>
        <v>行号02</v>
      </c>
      <c r="I138" s="1" t="str">
        <f t="shared" si="29"/>
        <v>序号04</v>
      </c>
      <c r="J138" s="36" t="s">
        <v>517</v>
      </c>
      <c r="K138" s="39">
        <v>0</v>
      </c>
      <c r="L138" s="39">
        <v>5</v>
      </c>
      <c r="M138" s="48"/>
      <c r="N138" s="48"/>
      <c r="O138" s="57" t="s">
        <v>1239</v>
      </c>
      <c r="P138" s="34">
        <v>787100</v>
      </c>
    </row>
    <row r="139" spans="1:16">
      <c r="A139" s="8" t="s">
        <v>14</v>
      </c>
      <c r="B139" s="9" t="s">
        <v>22</v>
      </c>
      <c r="C139" s="8" t="s">
        <v>16</v>
      </c>
      <c r="D139" s="11" t="s">
        <v>22</v>
      </c>
      <c r="E139" s="7" t="str">
        <f t="shared" si="27"/>
        <v>01050205</v>
      </c>
      <c r="F139" s="1" t="s">
        <v>1219</v>
      </c>
      <c r="G139" s="1" t="str">
        <f t="shared" si="26"/>
        <v>抽屉05台阶钻490</v>
      </c>
      <c r="H139" t="str">
        <f t="shared" si="28"/>
        <v>行号02</v>
      </c>
      <c r="I139" s="1" t="str">
        <f t="shared" si="29"/>
        <v>序号05</v>
      </c>
      <c r="J139" s="36" t="s">
        <v>518</v>
      </c>
      <c r="K139" s="39">
        <v>0</v>
      </c>
      <c r="L139" s="39">
        <v>5</v>
      </c>
      <c r="M139" s="33"/>
      <c r="N139" s="39"/>
      <c r="O139" s="57" t="s">
        <v>1239</v>
      </c>
      <c r="P139" s="34">
        <v>787103</v>
      </c>
    </row>
    <row r="140" spans="1:16">
      <c r="A140" s="8" t="s">
        <v>14</v>
      </c>
      <c r="B140" s="9" t="s">
        <v>22</v>
      </c>
      <c r="C140" s="8" t="s">
        <v>16</v>
      </c>
      <c r="D140" s="11" t="s">
        <v>24</v>
      </c>
      <c r="E140" s="7" t="str">
        <f t="shared" si="27"/>
        <v>01050206</v>
      </c>
      <c r="F140" s="1" t="s">
        <v>1219</v>
      </c>
      <c r="G140" s="1" t="str">
        <f t="shared" si="26"/>
        <v>抽屉05台阶钻490</v>
      </c>
      <c r="H140" t="str">
        <f t="shared" si="28"/>
        <v>行号02</v>
      </c>
      <c r="I140" s="1" t="str">
        <f t="shared" si="29"/>
        <v>序号06</v>
      </c>
      <c r="J140" s="36" t="s">
        <v>519</v>
      </c>
      <c r="K140" s="39">
        <v>0</v>
      </c>
      <c r="L140" s="39">
        <v>5</v>
      </c>
      <c r="M140" s="33"/>
      <c r="N140" s="39"/>
      <c r="O140" s="57" t="s">
        <v>1239</v>
      </c>
      <c r="P140" s="34">
        <v>787105</v>
      </c>
    </row>
    <row r="141" spans="1:16">
      <c r="A141" s="8" t="s">
        <v>14</v>
      </c>
      <c r="B141" s="9" t="s">
        <v>22</v>
      </c>
      <c r="C141" s="8" t="s">
        <v>16</v>
      </c>
      <c r="D141" s="11" t="s">
        <v>26</v>
      </c>
      <c r="E141" s="7" t="str">
        <f t="shared" si="27"/>
        <v>01050207</v>
      </c>
      <c r="F141" s="1" t="s">
        <v>1219</v>
      </c>
      <c r="G141" s="1" t="str">
        <f t="shared" si="26"/>
        <v>抽屉05台阶钻490</v>
      </c>
      <c r="H141" t="str">
        <f t="shared" si="28"/>
        <v>行号02</v>
      </c>
      <c r="I141" s="1" t="str">
        <f t="shared" si="29"/>
        <v>序号07</v>
      </c>
      <c r="J141" s="36" t="s">
        <v>520</v>
      </c>
      <c r="K141" s="39">
        <v>0</v>
      </c>
      <c r="L141" s="39">
        <v>5</v>
      </c>
      <c r="M141" s="33"/>
      <c r="N141" s="39"/>
      <c r="O141" s="57" t="s">
        <v>1239</v>
      </c>
      <c r="P141" s="34">
        <v>787097</v>
      </c>
    </row>
    <row r="142" spans="1:16">
      <c r="A142" s="8" t="s">
        <v>14</v>
      </c>
      <c r="B142" s="9" t="s">
        <v>22</v>
      </c>
      <c r="C142" s="8" t="s">
        <v>16</v>
      </c>
      <c r="D142" s="11" t="s">
        <v>28</v>
      </c>
      <c r="E142" s="7" t="str">
        <f t="shared" si="27"/>
        <v>01050208</v>
      </c>
      <c r="F142" s="1" t="s">
        <v>1219</v>
      </c>
      <c r="G142" s="1" t="str">
        <f t="shared" si="26"/>
        <v>抽屉05台阶钻490</v>
      </c>
      <c r="H142" t="str">
        <f t="shared" si="28"/>
        <v>行号02</v>
      </c>
      <c r="I142" s="1" t="str">
        <f t="shared" si="29"/>
        <v>序号08</v>
      </c>
      <c r="J142" s="36" t="s">
        <v>521</v>
      </c>
      <c r="K142" s="39">
        <v>0</v>
      </c>
      <c r="L142" s="39">
        <v>5</v>
      </c>
      <c r="M142" s="33"/>
      <c r="N142" s="39"/>
      <c r="O142" s="57" t="s">
        <v>1239</v>
      </c>
      <c r="P142" s="34">
        <v>787095</v>
      </c>
    </row>
    <row r="143" spans="1:16">
      <c r="A143" s="8" t="s">
        <v>14</v>
      </c>
      <c r="B143" s="9" t="s">
        <v>22</v>
      </c>
      <c r="C143" s="10" t="s">
        <v>18</v>
      </c>
      <c r="D143" s="8" t="s">
        <v>14</v>
      </c>
      <c r="E143" s="7" t="str">
        <f t="shared" si="27"/>
        <v>01050301</v>
      </c>
      <c r="F143" s="1" t="s">
        <v>1219</v>
      </c>
      <c r="G143" s="1" t="str">
        <f t="shared" si="26"/>
        <v>抽屉05台阶钻490</v>
      </c>
      <c r="H143" t="str">
        <f t="shared" si="28"/>
        <v>行号03</v>
      </c>
      <c r="I143" s="1" t="str">
        <f t="shared" si="29"/>
        <v>序号01</v>
      </c>
      <c r="J143" s="36" t="s">
        <v>522</v>
      </c>
      <c r="K143" s="39">
        <v>0</v>
      </c>
      <c r="L143" s="39">
        <v>5</v>
      </c>
      <c r="M143" s="33"/>
      <c r="N143" s="39"/>
      <c r="O143" s="57" t="s">
        <v>1239</v>
      </c>
      <c r="P143" s="34">
        <v>787088</v>
      </c>
    </row>
    <row r="144" spans="1:16">
      <c r="A144" s="8" t="s">
        <v>14</v>
      </c>
      <c r="B144" s="9" t="s">
        <v>22</v>
      </c>
      <c r="C144" s="10" t="s">
        <v>18</v>
      </c>
      <c r="D144" s="8" t="s">
        <v>16</v>
      </c>
      <c r="E144" s="7" t="str">
        <f t="shared" si="27"/>
        <v>01050302</v>
      </c>
      <c r="F144" s="1" t="s">
        <v>1219</v>
      </c>
      <c r="G144" s="1" t="str">
        <f t="shared" si="26"/>
        <v>抽屉05台阶钻490</v>
      </c>
      <c r="H144" t="str">
        <f t="shared" si="28"/>
        <v>行号03</v>
      </c>
      <c r="I144" s="1" t="str">
        <f t="shared" si="29"/>
        <v>序号02</v>
      </c>
      <c r="J144" s="36" t="s">
        <v>523</v>
      </c>
      <c r="K144" s="39">
        <v>0</v>
      </c>
      <c r="L144" s="39">
        <v>5</v>
      </c>
      <c r="M144" s="33"/>
      <c r="N144" s="39"/>
      <c r="O144" s="57" t="s">
        <v>1239</v>
      </c>
      <c r="P144" s="34">
        <v>787092</v>
      </c>
    </row>
    <row r="145" spans="1:16">
      <c r="A145" s="8" t="s">
        <v>14</v>
      </c>
      <c r="B145" s="9" t="s">
        <v>22</v>
      </c>
      <c r="C145" s="10" t="s">
        <v>18</v>
      </c>
      <c r="D145" s="8" t="s">
        <v>18</v>
      </c>
      <c r="E145" s="7" t="str">
        <f t="shared" si="27"/>
        <v>01050303</v>
      </c>
      <c r="F145" s="1" t="s">
        <v>1219</v>
      </c>
      <c r="G145" s="1" t="str">
        <f t="shared" si="26"/>
        <v>抽屉05台阶钻490</v>
      </c>
      <c r="H145" t="str">
        <f t="shared" si="28"/>
        <v>行号03</v>
      </c>
      <c r="I145" s="1" t="str">
        <f t="shared" si="29"/>
        <v>序号03</v>
      </c>
      <c r="J145" s="36" t="s">
        <v>524</v>
      </c>
      <c r="K145" s="39">
        <v>0</v>
      </c>
      <c r="L145" s="39">
        <v>5</v>
      </c>
      <c r="M145" s="33"/>
      <c r="N145" s="39"/>
      <c r="O145" s="57" t="s">
        <v>1239</v>
      </c>
      <c r="P145" s="34">
        <v>787093</v>
      </c>
    </row>
    <row r="146" spans="1:16">
      <c r="A146" s="8" t="s">
        <v>14</v>
      </c>
      <c r="B146" s="9" t="s">
        <v>22</v>
      </c>
      <c r="C146" s="10" t="s">
        <v>18</v>
      </c>
      <c r="D146" s="8" t="s">
        <v>20</v>
      </c>
      <c r="E146" s="7" t="str">
        <f t="shared" si="27"/>
        <v>01050304</v>
      </c>
      <c r="F146" s="1" t="s">
        <v>1219</v>
      </c>
      <c r="G146" s="1" t="str">
        <f t="shared" si="26"/>
        <v>抽屉05台阶钻490</v>
      </c>
      <c r="H146" t="str">
        <f t="shared" si="28"/>
        <v>行号03</v>
      </c>
      <c r="I146" s="1" t="str">
        <f t="shared" si="29"/>
        <v>序号04</v>
      </c>
      <c r="J146" s="36" t="s">
        <v>525</v>
      </c>
      <c r="K146" s="39">
        <v>0</v>
      </c>
      <c r="L146" s="39">
        <v>5</v>
      </c>
      <c r="M146" s="33"/>
      <c r="N146" s="39"/>
      <c r="O146" s="57" t="s">
        <v>1239</v>
      </c>
      <c r="P146" s="34">
        <v>787091</v>
      </c>
    </row>
    <row r="147" spans="1:16">
      <c r="A147" s="8" t="s">
        <v>14</v>
      </c>
      <c r="B147" s="9" t="s">
        <v>22</v>
      </c>
      <c r="C147" s="10" t="s">
        <v>18</v>
      </c>
      <c r="D147" s="8" t="s">
        <v>22</v>
      </c>
      <c r="E147" s="7" t="str">
        <f t="shared" si="27"/>
        <v>01050305</v>
      </c>
      <c r="F147" s="1" t="s">
        <v>1219</v>
      </c>
      <c r="G147" s="1" t="str">
        <f t="shared" si="26"/>
        <v>抽屉05台阶钻490</v>
      </c>
      <c r="H147" t="str">
        <f t="shared" si="28"/>
        <v>行号03</v>
      </c>
      <c r="I147" s="1" t="str">
        <f t="shared" si="29"/>
        <v>序号05</v>
      </c>
      <c r="J147" s="36" t="s">
        <v>526</v>
      </c>
      <c r="K147" s="39">
        <v>0</v>
      </c>
      <c r="L147" s="39">
        <v>5</v>
      </c>
      <c r="M147" s="33"/>
      <c r="N147" s="39"/>
      <c r="O147" s="57" t="s">
        <v>1239</v>
      </c>
      <c r="P147" s="34">
        <v>787079</v>
      </c>
    </row>
    <row r="148" spans="1:16">
      <c r="A148" s="8" t="s">
        <v>14</v>
      </c>
      <c r="B148" s="9" t="s">
        <v>22</v>
      </c>
      <c r="C148" s="10" t="s">
        <v>18</v>
      </c>
      <c r="D148" s="8" t="s">
        <v>24</v>
      </c>
      <c r="E148" s="7" t="str">
        <f t="shared" si="27"/>
        <v>01050306</v>
      </c>
      <c r="F148" s="1" t="s">
        <v>1219</v>
      </c>
      <c r="G148" s="1" t="str">
        <f t="shared" si="26"/>
        <v>抽屉05台阶钻490</v>
      </c>
      <c r="H148" t="str">
        <f t="shared" si="28"/>
        <v>行号03</v>
      </c>
      <c r="I148" s="1" t="str">
        <f t="shared" si="29"/>
        <v>序号06</v>
      </c>
      <c r="J148" s="36" t="s">
        <v>527</v>
      </c>
      <c r="K148" s="39">
        <v>0</v>
      </c>
      <c r="L148" s="39">
        <v>5</v>
      </c>
      <c r="M148" s="33"/>
      <c r="N148" s="39"/>
      <c r="O148" s="57" t="s">
        <v>1239</v>
      </c>
      <c r="P148" s="34">
        <v>787082</v>
      </c>
    </row>
    <row r="149" spans="1:16">
      <c r="A149" s="8" t="s">
        <v>14</v>
      </c>
      <c r="B149" s="9" t="s">
        <v>22</v>
      </c>
      <c r="C149" s="10" t="s">
        <v>18</v>
      </c>
      <c r="D149" s="8" t="s">
        <v>26</v>
      </c>
      <c r="E149" s="7" t="str">
        <f t="shared" si="27"/>
        <v>01050307</v>
      </c>
      <c r="F149" s="1" t="s">
        <v>1219</v>
      </c>
      <c r="G149" s="1" t="str">
        <f t="shared" si="26"/>
        <v>抽屉05台阶钻490</v>
      </c>
      <c r="H149" t="str">
        <f t="shared" si="28"/>
        <v>行号03</v>
      </c>
      <c r="I149" s="1" t="str">
        <f t="shared" si="29"/>
        <v>序号07</v>
      </c>
      <c r="J149" s="38"/>
      <c r="K149" s="41"/>
      <c r="L149" s="41"/>
      <c r="M149" s="42">
        <v>0</v>
      </c>
      <c r="N149" s="41">
        <v>0</v>
      </c>
    </row>
    <row r="150" spans="1:16">
      <c r="A150" s="8" t="s">
        <v>14</v>
      </c>
      <c r="B150" s="9" t="s">
        <v>22</v>
      </c>
      <c r="C150" s="10" t="s">
        <v>18</v>
      </c>
      <c r="D150" s="8" t="s">
        <v>28</v>
      </c>
      <c r="E150" s="7" t="str">
        <f t="shared" si="27"/>
        <v>01050308</v>
      </c>
      <c r="F150" s="1" t="s">
        <v>1219</v>
      </c>
      <c r="G150" s="1" t="str">
        <f t="shared" si="26"/>
        <v>抽屉05台阶钻490</v>
      </c>
      <c r="H150" t="str">
        <f t="shared" si="28"/>
        <v>行号03</v>
      </c>
      <c r="I150" s="1" t="str">
        <f t="shared" si="29"/>
        <v>序号08</v>
      </c>
      <c r="J150" s="38"/>
      <c r="K150" s="41"/>
      <c r="L150" s="41"/>
      <c r="M150" s="42">
        <v>0</v>
      </c>
      <c r="N150" s="41">
        <v>0</v>
      </c>
    </row>
    <row r="151" spans="1:16">
      <c r="A151" s="8" t="s">
        <v>14</v>
      </c>
      <c r="B151" s="9" t="s">
        <v>22</v>
      </c>
      <c r="C151" s="8" t="s">
        <v>20</v>
      </c>
      <c r="D151" s="11" t="s">
        <v>14</v>
      </c>
      <c r="E151" s="7" t="str">
        <f t="shared" si="27"/>
        <v>01050401</v>
      </c>
      <c r="F151" s="1" t="s">
        <v>1219</v>
      </c>
      <c r="G151" s="1" t="str">
        <f t="shared" si="26"/>
        <v>抽屉05台阶钻490</v>
      </c>
      <c r="H151" t="str">
        <f t="shared" si="28"/>
        <v>行号04</v>
      </c>
      <c r="I151" s="1" t="str">
        <f t="shared" si="29"/>
        <v>序号01</v>
      </c>
      <c r="J151" s="36" t="s">
        <v>513</v>
      </c>
      <c r="K151" s="39">
        <v>0</v>
      </c>
      <c r="L151" s="39">
        <v>5</v>
      </c>
      <c r="M151" s="33"/>
      <c r="N151" s="39"/>
      <c r="O151" s="57" t="s">
        <v>1239</v>
      </c>
      <c r="P151" s="34">
        <v>787131</v>
      </c>
    </row>
    <row r="152" spans="1:16">
      <c r="A152" s="8" t="s">
        <v>14</v>
      </c>
      <c r="B152" s="9" t="s">
        <v>22</v>
      </c>
      <c r="C152" s="8" t="s">
        <v>20</v>
      </c>
      <c r="D152" s="11" t="s">
        <v>16</v>
      </c>
      <c r="E152" s="7" t="str">
        <f t="shared" si="27"/>
        <v>01050402</v>
      </c>
      <c r="F152" s="1" t="s">
        <v>1219</v>
      </c>
      <c r="G152" s="1" t="str">
        <f t="shared" si="26"/>
        <v>抽屉05台阶钻490</v>
      </c>
      <c r="H152" t="str">
        <f t="shared" si="28"/>
        <v>行号04</v>
      </c>
      <c r="I152" s="1" t="str">
        <f t="shared" si="29"/>
        <v>序号02</v>
      </c>
      <c r="J152" s="36" t="s">
        <v>514</v>
      </c>
      <c r="K152" s="39">
        <v>0</v>
      </c>
      <c r="L152" s="39">
        <v>5</v>
      </c>
      <c r="M152" s="48"/>
      <c r="N152" s="48"/>
      <c r="O152" s="57" t="s">
        <v>1239</v>
      </c>
      <c r="P152" s="34">
        <v>787127</v>
      </c>
    </row>
    <row r="153" spans="1:16">
      <c r="A153" s="8" t="s">
        <v>14</v>
      </c>
      <c r="B153" s="9" t="s">
        <v>22</v>
      </c>
      <c r="C153" s="8" t="s">
        <v>20</v>
      </c>
      <c r="D153" s="11" t="s">
        <v>18</v>
      </c>
      <c r="E153" s="7" t="str">
        <f t="shared" si="27"/>
        <v>01050403</v>
      </c>
      <c r="F153" s="1" t="s">
        <v>1219</v>
      </c>
      <c r="G153" s="1" t="str">
        <f t="shared" si="26"/>
        <v>抽屉05台阶钻490</v>
      </c>
      <c r="H153" t="str">
        <f t="shared" si="28"/>
        <v>行号04</v>
      </c>
      <c r="I153" s="1" t="str">
        <f t="shared" si="29"/>
        <v>序号03</v>
      </c>
      <c r="J153" s="38"/>
      <c r="K153" s="41"/>
      <c r="L153" s="41"/>
      <c r="M153" s="42">
        <v>0</v>
      </c>
      <c r="N153" s="41">
        <v>0</v>
      </c>
    </row>
    <row r="154" spans="1:16">
      <c r="A154" s="8" t="s">
        <v>14</v>
      </c>
      <c r="B154" s="9" t="s">
        <v>22</v>
      </c>
      <c r="C154" s="8" t="s">
        <v>20</v>
      </c>
      <c r="D154" s="11" t="s">
        <v>20</v>
      </c>
      <c r="E154" s="7" t="str">
        <f t="shared" si="27"/>
        <v>01050404</v>
      </c>
      <c r="F154" s="1" t="s">
        <v>1219</v>
      </c>
      <c r="G154" s="1" t="str">
        <f t="shared" si="26"/>
        <v>抽屉05台阶钻490</v>
      </c>
      <c r="H154" t="str">
        <f t="shared" si="28"/>
        <v>行号04</v>
      </c>
      <c r="I154" s="1" t="str">
        <f t="shared" si="29"/>
        <v>序号04</v>
      </c>
      <c r="J154" s="38"/>
      <c r="K154" s="41"/>
      <c r="L154" s="41"/>
      <c r="M154" s="42">
        <v>0</v>
      </c>
      <c r="N154" s="41">
        <v>0</v>
      </c>
    </row>
    <row r="155" spans="1:16">
      <c r="A155" s="8" t="s">
        <v>14</v>
      </c>
      <c r="B155" s="9" t="s">
        <v>22</v>
      </c>
      <c r="C155" s="8" t="s">
        <v>20</v>
      </c>
      <c r="D155" s="11" t="s">
        <v>22</v>
      </c>
      <c r="E155" s="7" t="str">
        <f t="shared" si="27"/>
        <v>01050405</v>
      </c>
      <c r="F155" s="1" t="s">
        <v>1219</v>
      </c>
      <c r="G155" s="1" t="str">
        <f t="shared" si="26"/>
        <v>抽屉05台阶钻490</v>
      </c>
      <c r="H155" t="str">
        <f t="shared" si="28"/>
        <v>行号04</v>
      </c>
      <c r="I155" s="1" t="str">
        <f t="shared" si="29"/>
        <v>序号05</v>
      </c>
      <c r="J155" s="38"/>
      <c r="K155" s="41"/>
      <c r="L155" s="41"/>
      <c r="M155" s="42">
        <v>0</v>
      </c>
      <c r="N155" s="41">
        <v>0</v>
      </c>
    </row>
    <row r="156" spans="1:16">
      <c r="A156" s="8" t="s">
        <v>14</v>
      </c>
      <c r="B156" s="9" t="s">
        <v>22</v>
      </c>
      <c r="C156" s="8" t="s">
        <v>20</v>
      </c>
      <c r="D156" s="11" t="s">
        <v>24</v>
      </c>
      <c r="E156" s="7" t="str">
        <f t="shared" si="27"/>
        <v>01050406</v>
      </c>
      <c r="F156" s="1" t="s">
        <v>1219</v>
      </c>
      <c r="G156" s="1" t="str">
        <f t="shared" si="26"/>
        <v>抽屉05台阶钻490</v>
      </c>
      <c r="H156" t="str">
        <f t="shared" si="28"/>
        <v>行号04</v>
      </c>
      <c r="I156" s="1" t="str">
        <f t="shared" si="29"/>
        <v>序号06</v>
      </c>
      <c r="J156" s="38"/>
      <c r="K156" s="41"/>
      <c r="L156" s="41"/>
      <c r="M156" s="42">
        <v>0</v>
      </c>
      <c r="N156" s="41">
        <v>0</v>
      </c>
    </row>
    <row r="157" spans="1:16">
      <c r="A157" s="8" t="s">
        <v>14</v>
      </c>
      <c r="B157" s="9" t="s">
        <v>22</v>
      </c>
      <c r="C157" s="8" t="s">
        <v>20</v>
      </c>
      <c r="D157" s="11" t="s">
        <v>26</v>
      </c>
      <c r="E157" s="7" t="str">
        <f t="shared" si="27"/>
        <v>01050407</v>
      </c>
      <c r="F157" s="1" t="s">
        <v>1219</v>
      </c>
      <c r="G157" s="1" t="str">
        <f t="shared" si="26"/>
        <v>抽屉05台阶钻490</v>
      </c>
      <c r="H157" t="str">
        <f t="shared" si="28"/>
        <v>行号04</v>
      </c>
      <c r="I157" s="1" t="str">
        <f t="shared" si="29"/>
        <v>序号07</v>
      </c>
      <c r="J157" s="24"/>
      <c r="K157" s="41"/>
      <c r="L157" s="41"/>
      <c r="M157" s="42">
        <v>0</v>
      </c>
      <c r="N157" s="41">
        <v>0</v>
      </c>
    </row>
    <row r="158" spans="1:16">
      <c r="A158" s="8" t="s">
        <v>14</v>
      </c>
      <c r="B158" s="9" t="s">
        <v>22</v>
      </c>
      <c r="C158" s="8" t="s">
        <v>20</v>
      </c>
      <c r="D158" s="11" t="s">
        <v>28</v>
      </c>
      <c r="E158" s="7" t="str">
        <f t="shared" si="27"/>
        <v>01050408</v>
      </c>
      <c r="F158" s="1" t="s">
        <v>1219</v>
      </c>
      <c r="G158" s="1" t="str">
        <f t="shared" si="26"/>
        <v>抽屉05台阶钻490</v>
      </c>
      <c r="H158" t="str">
        <f t="shared" si="28"/>
        <v>行号04</v>
      </c>
      <c r="I158" s="1" t="str">
        <f t="shared" si="29"/>
        <v>序号08</v>
      </c>
      <c r="J158" s="24"/>
      <c r="K158" s="41"/>
      <c r="L158" s="41"/>
      <c r="M158" s="42">
        <v>0</v>
      </c>
      <c r="N158" s="41">
        <v>0</v>
      </c>
    </row>
    <row r="159" spans="1:16">
      <c r="A159" s="8" t="s">
        <v>14</v>
      </c>
      <c r="B159" s="8" t="s">
        <v>24</v>
      </c>
      <c r="C159" s="10" t="s">
        <v>14</v>
      </c>
      <c r="D159" s="8" t="s">
        <v>14</v>
      </c>
      <c r="E159" s="7" t="str">
        <f t="shared" si="27"/>
        <v>01060101</v>
      </c>
      <c r="F159" s="1" t="s">
        <v>1219</v>
      </c>
      <c r="G159" s="1" t="str">
        <f>"抽屉"&amp;B159&amp;"台阶钻490"</f>
        <v>抽屉06台阶钻490</v>
      </c>
      <c r="H159" t="str">
        <f t="shared" si="28"/>
        <v>行号01</v>
      </c>
      <c r="I159" s="1" t="str">
        <f t="shared" si="29"/>
        <v>序号01</v>
      </c>
      <c r="J159" s="36" t="s">
        <v>528</v>
      </c>
      <c r="K159" s="39">
        <v>0</v>
      </c>
      <c r="L159" s="39">
        <v>5</v>
      </c>
      <c r="M159" s="48"/>
      <c r="N159" s="48"/>
      <c r="O159" s="32" t="s">
        <v>1233</v>
      </c>
      <c r="P159" s="34">
        <v>786679</v>
      </c>
    </row>
    <row r="160" spans="1:16">
      <c r="A160" s="8" t="s">
        <v>14</v>
      </c>
      <c r="B160" s="8" t="s">
        <v>24</v>
      </c>
      <c r="C160" s="10" t="s">
        <v>14</v>
      </c>
      <c r="D160" s="8" t="s">
        <v>16</v>
      </c>
      <c r="E160" s="7" t="str">
        <f t="shared" si="27"/>
        <v>01060102</v>
      </c>
      <c r="F160" s="1" t="s">
        <v>1219</v>
      </c>
      <c r="G160" s="1" t="str">
        <f t="shared" ref="G160:G189" si="30">"抽屉"&amp;B160&amp;"台阶钻490"</f>
        <v>抽屉06台阶钻490</v>
      </c>
      <c r="H160" t="str">
        <f t="shared" si="28"/>
        <v>行号01</v>
      </c>
      <c r="I160" s="1" t="str">
        <f t="shared" si="29"/>
        <v>序号02</v>
      </c>
      <c r="J160" s="36" t="s">
        <v>529</v>
      </c>
      <c r="K160" s="39">
        <v>0</v>
      </c>
      <c r="L160" s="39">
        <v>5</v>
      </c>
      <c r="M160" s="33"/>
      <c r="N160" s="39"/>
      <c r="O160" s="57" t="s">
        <v>1239</v>
      </c>
      <c r="P160" s="34">
        <v>787084</v>
      </c>
    </row>
    <row r="161" spans="1:16">
      <c r="A161" s="8" t="s">
        <v>14</v>
      </c>
      <c r="B161" s="8" t="s">
        <v>24</v>
      </c>
      <c r="C161" s="10" t="s">
        <v>14</v>
      </c>
      <c r="D161" s="8" t="s">
        <v>18</v>
      </c>
      <c r="E161" s="7" t="str">
        <f t="shared" si="27"/>
        <v>01060103</v>
      </c>
      <c r="F161" s="1" t="s">
        <v>1219</v>
      </c>
      <c r="G161" s="1" t="str">
        <f t="shared" si="30"/>
        <v>抽屉06台阶钻490</v>
      </c>
      <c r="H161" t="str">
        <f t="shared" si="28"/>
        <v>行号01</v>
      </c>
      <c r="I161" s="1" t="str">
        <f t="shared" si="29"/>
        <v>序号03</v>
      </c>
      <c r="J161" t="s">
        <v>530</v>
      </c>
      <c r="K161" s="39">
        <v>0</v>
      </c>
      <c r="L161" s="39">
        <v>5</v>
      </c>
      <c r="M161" s="33"/>
      <c r="N161" s="39"/>
      <c r="O161" s="57" t="s">
        <v>1239</v>
      </c>
      <c r="P161" s="34">
        <v>786182</v>
      </c>
    </row>
    <row r="162" spans="1:16">
      <c r="A162" s="8" t="s">
        <v>14</v>
      </c>
      <c r="B162" s="8" t="s">
        <v>24</v>
      </c>
      <c r="C162" s="10" t="s">
        <v>14</v>
      </c>
      <c r="D162" s="8" t="s">
        <v>20</v>
      </c>
      <c r="E162" s="7" t="str">
        <f t="shared" si="27"/>
        <v>01060104</v>
      </c>
      <c r="F162" s="1" t="s">
        <v>1219</v>
      </c>
      <c r="G162" s="1" t="str">
        <f t="shared" si="30"/>
        <v>抽屉06台阶钻490</v>
      </c>
      <c r="H162" t="str">
        <f t="shared" si="28"/>
        <v>行号01</v>
      </c>
      <c r="I162" s="1" t="str">
        <f t="shared" si="29"/>
        <v>序号04</v>
      </c>
      <c r="J162" t="s">
        <v>531</v>
      </c>
      <c r="K162" s="39">
        <v>0</v>
      </c>
      <c r="L162" s="39">
        <v>5</v>
      </c>
      <c r="M162" s="48"/>
      <c r="N162" s="48"/>
      <c r="O162" s="57" t="s">
        <v>1239</v>
      </c>
      <c r="P162" s="34">
        <v>786920</v>
      </c>
    </row>
    <row r="163" spans="1:16">
      <c r="A163" s="8" t="s">
        <v>14</v>
      </c>
      <c r="B163" s="8" t="s">
        <v>24</v>
      </c>
      <c r="C163" s="10" t="s">
        <v>14</v>
      </c>
      <c r="D163" s="8" t="s">
        <v>22</v>
      </c>
      <c r="E163" s="7" t="str">
        <f t="shared" si="27"/>
        <v>01060105</v>
      </c>
      <c r="F163" s="1" t="s">
        <v>1219</v>
      </c>
      <c r="G163" s="1" t="str">
        <f t="shared" si="30"/>
        <v>抽屉06台阶钻490</v>
      </c>
      <c r="H163" t="str">
        <f t="shared" si="28"/>
        <v>行号01</v>
      </c>
      <c r="I163" s="1" t="str">
        <f t="shared" si="29"/>
        <v>序号05</v>
      </c>
      <c r="J163" t="s">
        <v>532</v>
      </c>
      <c r="K163" s="39">
        <v>0</v>
      </c>
      <c r="L163" s="39">
        <v>5</v>
      </c>
      <c r="M163" s="33"/>
      <c r="N163" s="39"/>
      <c r="O163" s="57" t="s">
        <v>1239</v>
      </c>
      <c r="P163" s="34">
        <v>786916</v>
      </c>
    </row>
    <row r="164" spans="1:16">
      <c r="A164" s="8" t="s">
        <v>14</v>
      </c>
      <c r="B164" s="8" t="s">
        <v>24</v>
      </c>
      <c r="C164" s="10" t="s">
        <v>14</v>
      </c>
      <c r="D164" s="8" t="s">
        <v>24</v>
      </c>
      <c r="E164" s="7" t="str">
        <f t="shared" si="27"/>
        <v>01060106</v>
      </c>
      <c r="F164" s="1" t="s">
        <v>1219</v>
      </c>
      <c r="G164" s="1" t="str">
        <f t="shared" si="30"/>
        <v>抽屉06台阶钻490</v>
      </c>
      <c r="H164" t="str">
        <f t="shared" si="28"/>
        <v>行号01</v>
      </c>
      <c r="I164" s="1" t="str">
        <f t="shared" si="29"/>
        <v>序号06</v>
      </c>
      <c r="J164" t="s">
        <v>533</v>
      </c>
      <c r="K164" s="39">
        <v>0</v>
      </c>
      <c r="L164" s="39">
        <v>5</v>
      </c>
      <c r="M164" s="33"/>
      <c r="N164" s="39"/>
      <c r="O164" s="57" t="s">
        <v>1239</v>
      </c>
      <c r="P164" s="34">
        <v>786913</v>
      </c>
    </row>
    <row r="165" spans="1:16">
      <c r="A165" s="8" t="s">
        <v>14</v>
      </c>
      <c r="B165" s="8" t="s">
        <v>24</v>
      </c>
      <c r="C165" s="10" t="s">
        <v>14</v>
      </c>
      <c r="D165" s="8" t="s">
        <v>26</v>
      </c>
      <c r="E165" s="7" t="str">
        <f t="shared" si="27"/>
        <v>01060107</v>
      </c>
      <c r="F165" s="1" t="s">
        <v>1219</v>
      </c>
      <c r="G165" s="1" t="str">
        <f t="shared" si="30"/>
        <v>抽屉06台阶钻490</v>
      </c>
      <c r="H165" t="str">
        <f t="shared" si="28"/>
        <v>行号01</v>
      </c>
      <c r="I165" s="1" t="str">
        <f t="shared" si="29"/>
        <v>序号07</v>
      </c>
      <c r="J165" t="s">
        <v>534</v>
      </c>
      <c r="K165" s="39">
        <v>0</v>
      </c>
      <c r="L165" s="39">
        <v>5</v>
      </c>
      <c r="M165" s="33"/>
      <c r="N165" s="39"/>
      <c r="O165" s="57" t="s">
        <v>1239</v>
      </c>
      <c r="P165" s="34">
        <v>786894</v>
      </c>
    </row>
    <row r="166" spans="1:16">
      <c r="A166" s="8" t="s">
        <v>14</v>
      </c>
      <c r="B166" s="8" t="s">
        <v>24</v>
      </c>
      <c r="C166" s="10" t="s">
        <v>14</v>
      </c>
      <c r="D166" s="8" t="s">
        <v>28</v>
      </c>
      <c r="E166" s="7" t="str">
        <f t="shared" si="27"/>
        <v>01060108</v>
      </c>
      <c r="F166" s="1" t="s">
        <v>1219</v>
      </c>
      <c r="G166" s="1" t="str">
        <f t="shared" si="30"/>
        <v>抽屉06台阶钻490</v>
      </c>
      <c r="H166" t="str">
        <f t="shared" si="28"/>
        <v>行号01</v>
      </c>
      <c r="I166" s="1" t="str">
        <f t="shared" si="29"/>
        <v>序号08</v>
      </c>
      <c r="J166" s="24"/>
      <c r="K166" s="41"/>
      <c r="L166" s="41"/>
      <c r="M166" s="42">
        <v>0</v>
      </c>
      <c r="N166" s="41">
        <v>0</v>
      </c>
    </row>
    <row r="167" spans="1:16">
      <c r="A167" s="8" t="s">
        <v>14</v>
      </c>
      <c r="B167" s="8" t="s">
        <v>24</v>
      </c>
      <c r="C167" s="8" t="s">
        <v>16</v>
      </c>
      <c r="D167" s="11" t="s">
        <v>14</v>
      </c>
      <c r="E167" s="7" t="str">
        <f t="shared" si="27"/>
        <v>01060201</v>
      </c>
      <c r="F167" s="1" t="s">
        <v>1219</v>
      </c>
      <c r="G167" s="1" t="str">
        <f t="shared" si="30"/>
        <v>抽屉06台阶钻490</v>
      </c>
      <c r="H167" t="str">
        <f t="shared" si="28"/>
        <v>行号02</v>
      </c>
      <c r="I167" s="1" t="str">
        <f t="shared" si="29"/>
        <v>序号01</v>
      </c>
      <c r="J167" s="36" t="s">
        <v>535</v>
      </c>
      <c r="K167" s="39">
        <v>0</v>
      </c>
      <c r="L167" s="39">
        <v>5</v>
      </c>
      <c r="M167" s="48"/>
      <c r="N167" s="48"/>
      <c r="O167" s="57" t="s">
        <v>1239</v>
      </c>
      <c r="P167" s="34">
        <v>786909</v>
      </c>
    </row>
    <row r="168" spans="1:16">
      <c r="A168" s="8" t="s">
        <v>14</v>
      </c>
      <c r="B168" s="8" t="s">
        <v>24</v>
      </c>
      <c r="C168" s="8" t="s">
        <v>16</v>
      </c>
      <c r="D168" s="11" t="s">
        <v>16</v>
      </c>
      <c r="E168" s="7" t="str">
        <f t="shared" si="27"/>
        <v>01060202</v>
      </c>
      <c r="F168" s="1" t="s">
        <v>1219</v>
      </c>
      <c r="G168" s="1" t="str">
        <f t="shared" si="30"/>
        <v>抽屉06台阶钻490</v>
      </c>
      <c r="H168" t="str">
        <f t="shared" si="28"/>
        <v>行号02</v>
      </c>
      <c r="I168" s="1" t="str">
        <f t="shared" si="29"/>
        <v>序号02</v>
      </c>
      <c r="J168" s="36" t="s">
        <v>536</v>
      </c>
      <c r="K168" s="39">
        <v>0</v>
      </c>
      <c r="L168" s="39">
        <v>5</v>
      </c>
      <c r="M168" s="33"/>
      <c r="N168" s="39"/>
      <c r="O168" s="57" t="s">
        <v>1239</v>
      </c>
      <c r="P168" s="34">
        <v>786899</v>
      </c>
    </row>
    <row r="169" spans="1:16">
      <c r="A169" s="8" t="s">
        <v>14</v>
      </c>
      <c r="B169" s="8" t="s">
        <v>24</v>
      </c>
      <c r="C169" s="8" t="s">
        <v>16</v>
      </c>
      <c r="D169" s="11" t="s">
        <v>18</v>
      </c>
      <c r="E169" s="7" t="str">
        <f t="shared" si="27"/>
        <v>01060203</v>
      </c>
      <c r="F169" s="1" t="s">
        <v>1219</v>
      </c>
      <c r="G169" s="1" t="str">
        <f t="shared" si="30"/>
        <v>抽屉06台阶钻490</v>
      </c>
      <c r="H169" t="str">
        <f t="shared" si="28"/>
        <v>行号02</v>
      </c>
      <c r="I169" s="1" t="str">
        <f t="shared" si="29"/>
        <v>序号03</v>
      </c>
      <c r="J169" s="36" t="s">
        <v>537</v>
      </c>
      <c r="K169" s="39">
        <v>0</v>
      </c>
      <c r="L169" s="39">
        <v>5</v>
      </c>
      <c r="M169" s="33"/>
      <c r="N169" s="39"/>
      <c r="O169" s="57" t="s">
        <v>1239</v>
      </c>
      <c r="P169" s="34">
        <v>786903</v>
      </c>
    </row>
    <row r="170" spans="1:16">
      <c r="A170" s="8" t="s">
        <v>14</v>
      </c>
      <c r="B170" s="8" t="s">
        <v>24</v>
      </c>
      <c r="C170" s="8" t="s">
        <v>16</v>
      </c>
      <c r="D170" s="11" t="s">
        <v>20</v>
      </c>
      <c r="E170" s="7" t="str">
        <f t="shared" si="27"/>
        <v>01060204</v>
      </c>
      <c r="F170" s="1" t="s">
        <v>1219</v>
      </c>
      <c r="G170" s="1" t="str">
        <f t="shared" si="30"/>
        <v>抽屉06台阶钻490</v>
      </c>
      <c r="H170" t="str">
        <f t="shared" si="28"/>
        <v>行号02</v>
      </c>
      <c r="I170" s="1" t="str">
        <f t="shared" si="29"/>
        <v>序号04</v>
      </c>
      <c r="J170" s="36" t="s">
        <v>538</v>
      </c>
      <c r="K170" s="39">
        <v>5</v>
      </c>
      <c r="L170" s="39">
        <v>5</v>
      </c>
      <c r="M170" s="33"/>
      <c r="N170" s="39"/>
      <c r="O170" s="57" t="s">
        <v>1239</v>
      </c>
      <c r="P170" s="34">
        <v>786897</v>
      </c>
    </row>
    <row r="171" spans="1:16">
      <c r="A171" s="8" t="s">
        <v>14</v>
      </c>
      <c r="B171" s="8" t="s">
        <v>24</v>
      </c>
      <c r="C171" s="8" t="s">
        <v>16</v>
      </c>
      <c r="D171" s="11" t="s">
        <v>22</v>
      </c>
      <c r="E171" s="7" t="str">
        <f t="shared" si="27"/>
        <v>01060205</v>
      </c>
      <c r="F171" s="1" t="s">
        <v>1219</v>
      </c>
      <c r="G171" s="1" t="str">
        <f t="shared" si="30"/>
        <v>抽屉06台阶钻490</v>
      </c>
      <c r="H171" t="str">
        <f t="shared" si="28"/>
        <v>行号02</v>
      </c>
      <c r="I171" s="1" t="str">
        <f t="shared" si="29"/>
        <v>序号05</v>
      </c>
      <c r="J171" s="38"/>
      <c r="K171" s="41"/>
      <c r="L171" s="41"/>
      <c r="M171" s="42">
        <v>0</v>
      </c>
      <c r="N171" s="41">
        <v>0</v>
      </c>
    </row>
    <row r="172" spans="1:16">
      <c r="A172" s="8" t="s">
        <v>14</v>
      </c>
      <c r="B172" s="8" t="s">
        <v>24</v>
      </c>
      <c r="C172" s="8" t="s">
        <v>16</v>
      </c>
      <c r="D172" s="11" t="s">
        <v>24</v>
      </c>
      <c r="E172" s="7" t="str">
        <f t="shared" si="27"/>
        <v>01060206</v>
      </c>
      <c r="F172" s="1" t="s">
        <v>1219</v>
      </c>
      <c r="G172" s="1" t="str">
        <f t="shared" si="30"/>
        <v>抽屉06台阶钻490</v>
      </c>
      <c r="H172" t="str">
        <f t="shared" si="28"/>
        <v>行号02</v>
      </c>
      <c r="I172" s="1" t="str">
        <f t="shared" si="29"/>
        <v>序号06</v>
      </c>
      <c r="J172" s="38"/>
      <c r="K172" s="41"/>
      <c r="L172" s="41"/>
      <c r="M172" s="42">
        <v>0</v>
      </c>
      <c r="N172" s="41">
        <v>0</v>
      </c>
    </row>
    <row r="173" spans="1:16">
      <c r="A173" s="8" t="s">
        <v>14</v>
      </c>
      <c r="B173" s="8" t="s">
        <v>24</v>
      </c>
      <c r="C173" s="8" t="s">
        <v>16</v>
      </c>
      <c r="D173" s="11" t="s">
        <v>26</v>
      </c>
      <c r="E173" s="7" t="str">
        <f t="shared" si="27"/>
        <v>01060207</v>
      </c>
      <c r="F173" s="1" t="s">
        <v>1219</v>
      </c>
      <c r="G173" s="1" t="str">
        <f t="shared" si="30"/>
        <v>抽屉06台阶钻490</v>
      </c>
      <c r="H173" t="str">
        <f t="shared" si="28"/>
        <v>行号02</v>
      </c>
      <c r="I173" s="1" t="str">
        <f t="shared" si="29"/>
        <v>序号07</v>
      </c>
      <c r="J173" s="38"/>
      <c r="K173" s="41"/>
      <c r="L173" s="41"/>
      <c r="M173" s="42">
        <v>0</v>
      </c>
      <c r="N173" s="41">
        <v>0</v>
      </c>
    </row>
    <row r="174" spans="1:16">
      <c r="A174" s="8" t="s">
        <v>14</v>
      </c>
      <c r="B174" s="8" t="s">
        <v>24</v>
      </c>
      <c r="C174" s="8" t="s">
        <v>16</v>
      </c>
      <c r="D174" s="11" t="s">
        <v>28</v>
      </c>
      <c r="E174" s="7" t="str">
        <f t="shared" si="27"/>
        <v>01060208</v>
      </c>
      <c r="F174" s="1" t="s">
        <v>1219</v>
      </c>
      <c r="G174" s="1" t="str">
        <f t="shared" si="30"/>
        <v>抽屉06台阶钻490</v>
      </c>
      <c r="H174" t="str">
        <f t="shared" si="28"/>
        <v>行号02</v>
      </c>
      <c r="I174" s="1" t="str">
        <f t="shared" si="29"/>
        <v>序号08</v>
      </c>
      <c r="J174" s="24"/>
      <c r="K174" s="41"/>
      <c r="L174" s="41"/>
      <c r="M174" s="42">
        <v>0</v>
      </c>
      <c r="N174" s="41">
        <v>0</v>
      </c>
    </row>
    <row r="175" spans="1:16">
      <c r="A175" s="8" t="s">
        <v>14</v>
      </c>
      <c r="B175" s="8" t="s">
        <v>24</v>
      </c>
      <c r="C175" s="10" t="s">
        <v>18</v>
      </c>
      <c r="D175" s="8" t="s">
        <v>14</v>
      </c>
      <c r="E175" s="7" t="str">
        <f t="shared" si="27"/>
        <v>01060301</v>
      </c>
      <c r="F175" s="1" t="s">
        <v>1219</v>
      </c>
      <c r="G175" s="1" t="str">
        <f t="shared" si="30"/>
        <v>抽屉06台阶钻490</v>
      </c>
      <c r="H175" t="str">
        <f t="shared" si="28"/>
        <v>行号03</v>
      </c>
      <c r="I175" s="1" t="str">
        <f t="shared" si="29"/>
        <v>序号01</v>
      </c>
      <c r="J175" s="36" t="s">
        <v>539</v>
      </c>
      <c r="K175" s="39">
        <v>0</v>
      </c>
      <c r="L175" s="39">
        <v>5</v>
      </c>
      <c r="M175" s="48"/>
      <c r="N175" s="48"/>
      <c r="O175" s="57" t="s">
        <v>1239</v>
      </c>
      <c r="P175" s="34">
        <v>786905</v>
      </c>
    </row>
    <row r="176" spans="1:16">
      <c r="A176" s="8" t="s">
        <v>14</v>
      </c>
      <c r="B176" s="8" t="s">
        <v>24</v>
      </c>
      <c r="C176" s="10" t="s">
        <v>18</v>
      </c>
      <c r="D176" s="8" t="s">
        <v>16</v>
      </c>
      <c r="E176" s="7" t="str">
        <f t="shared" si="27"/>
        <v>01060302</v>
      </c>
      <c r="F176" s="1" t="s">
        <v>1219</v>
      </c>
      <c r="G176" s="1" t="str">
        <f t="shared" si="30"/>
        <v>抽屉06台阶钻490</v>
      </c>
      <c r="H176" t="str">
        <f t="shared" si="28"/>
        <v>行号03</v>
      </c>
      <c r="I176" s="1" t="str">
        <f t="shared" si="29"/>
        <v>序号02</v>
      </c>
      <c r="J176" s="36" t="s">
        <v>540</v>
      </c>
      <c r="K176" s="39">
        <v>0</v>
      </c>
      <c r="L176" s="39">
        <v>5</v>
      </c>
      <c r="M176" s="33"/>
      <c r="N176" s="39"/>
      <c r="O176" s="57" t="s">
        <v>1239</v>
      </c>
      <c r="P176" s="34">
        <v>787335</v>
      </c>
    </row>
    <row r="177" spans="1:16">
      <c r="A177" s="8" t="s">
        <v>14</v>
      </c>
      <c r="B177" s="8" t="s">
        <v>24</v>
      </c>
      <c r="C177" s="10" t="s">
        <v>18</v>
      </c>
      <c r="D177" s="8" t="s">
        <v>18</v>
      </c>
      <c r="E177" s="7" t="str">
        <f t="shared" si="27"/>
        <v>01060303</v>
      </c>
      <c r="F177" s="1" t="s">
        <v>1219</v>
      </c>
      <c r="G177" s="1" t="str">
        <f t="shared" si="30"/>
        <v>抽屉06台阶钻490</v>
      </c>
      <c r="H177" t="str">
        <f t="shared" si="28"/>
        <v>行号03</v>
      </c>
      <c r="I177" s="1" t="str">
        <f t="shared" si="29"/>
        <v>序号03</v>
      </c>
      <c r="J177" s="36" t="s">
        <v>541</v>
      </c>
      <c r="K177" s="39">
        <v>0</v>
      </c>
      <c r="L177" s="39">
        <v>5</v>
      </c>
      <c r="M177" s="33"/>
      <c r="N177" s="39"/>
      <c r="O177" s="57" t="s">
        <v>1239</v>
      </c>
    </row>
    <row r="178" spans="1:16">
      <c r="A178" s="8" t="s">
        <v>14</v>
      </c>
      <c r="B178" s="8" t="s">
        <v>24</v>
      </c>
      <c r="C178" s="10" t="s">
        <v>18</v>
      </c>
      <c r="D178" s="8" t="s">
        <v>20</v>
      </c>
      <c r="E178" s="7" t="str">
        <f t="shared" si="27"/>
        <v>01060304</v>
      </c>
      <c r="F178" s="1" t="s">
        <v>1219</v>
      </c>
      <c r="G178" s="1" t="str">
        <f t="shared" si="30"/>
        <v>抽屉06台阶钻490</v>
      </c>
      <c r="H178" t="str">
        <f t="shared" si="28"/>
        <v>行号03</v>
      </c>
      <c r="I178" s="1" t="str">
        <f t="shared" si="29"/>
        <v>序号04</v>
      </c>
      <c r="J178" s="36" t="s">
        <v>541</v>
      </c>
      <c r="K178" s="39">
        <v>0</v>
      </c>
      <c r="L178" s="39">
        <v>5</v>
      </c>
      <c r="M178" s="33"/>
      <c r="N178" s="39"/>
      <c r="O178" s="57" t="s">
        <v>1239</v>
      </c>
    </row>
    <row r="179" spans="1:16">
      <c r="A179" s="8" t="s">
        <v>14</v>
      </c>
      <c r="B179" s="8" t="s">
        <v>24</v>
      </c>
      <c r="C179" s="10" t="s">
        <v>18</v>
      </c>
      <c r="D179" s="8" t="s">
        <v>22</v>
      </c>
      <c r="E179" s="7" t="str">
        <f t="shared" si="27"/>
        <v>01060305</v>
      </c>
      <c r="F179" s="1" t="s">
        <v>1219</v>
      </c>
      <c r="G179" s="1" t="str">
        <f t="shared" si="30"/>
        <v>抽屉06台阶钻490</v>
      </c>
      <c r="H179" t="str">
        <f t="shared" si="28"/>
        <v>行号03</v>
      </c>
      <c r="I179" s="1" t="str">
        <f t="shared" si="29"/>
        <v>序号05</v>
      </c>
      <c r="J179" s="24"/>
      <c r="K179" s="41"/>
      <c r="L179" s="41"/>
      <c r="M179" s="42">
        <v>0</v>
      </c>
      <c r="N179" s="41">
        <v>0</v>
      </c>
    </row>
    <row r="180" spans="1:16">
      <c r="A180" s="8" t="s">
        <v>14</v>
      </c>
      <c r="B180" s="8" t="s">
        <v>24</v>
      </c>
      <c r="C180" s="10" t="s">
        <v>18</v>
      </c>
      <c r="D180" s="8" t="s">
        <v>24</v>
      </c>
      <c r="E180" s="7" t="str">
        <f t="shared" si="27"/>
        <v>01060306</v>
      </c>
      <c r="F180" s="1" t="s">
        <v>1219</v>
      </c>
      <c r="G180" s="1" t="str">
        <f t="shared" si="30"/>
        <v>抽屉06台阶钻490</v>
      </c>
      <c r="H180" t="str">
        <f t="shared" si="28"/>
        <v>行号03</v>
      </c>
      <c r="I180" s="1" t="str">
        <f t="shared" si="29"/>
        <v>序号06</v>
      </c>
      <c r="J180" s="24"/>
      <c r="K180" s="41"/>
      <c r="L180" s="41"/>
      <c r="M180" s="42">
        <v>0</v>
      </c>
      <c r="N180" s="41">
        <v>0</v>
      </c>
    </row>
    <row r="181" spans="1:16">
      <c r="A181" s="8" t="s">
        <v>14</v>
      </c>
      <c r="B181" s="8" t="s">
        <v>24</v>
      </c>
      <c r="C181" s="10" t="s">
        <v>18</v>
      </c>
      <c r="D181" s="8" t="s">
        <v>26</v>
      </c>
      <c r="E181" s="7" t="str">
        <f t="shared" si="27"/>
        <v>01060307</v>
      </c>
      <c r="F181" s="1" t="s">
        <v>1219</v>
      </c>
      <c r="G181" s="1" t="str">
        <f t="shared" si="30"/>
        <v>抽屉06台阶钻490</v>
      </c>
      <c r="H181" t="str">
        <f t="shared" si="28"/>
        <v>行号03</v>
      </c>
      <c r="I181" s="1" t="str">
        <f t="shared" si="29"/>
        <v>序号07</v>
      </c>
      <c r="J181" s="24"/>
      <c r="K181" s="41"/>
      <c r="L181" s="41"/>
      <c r="M181" s="42">
        <v>0</v>
      </c>
      <c r="N181" s="41">
        <v>0</v>
      </c>
    </row>
    <row r="182" spans="1:16">
      <c r="A182" s="8" t="s">
        <v>14</v>
      </c>
      <c r="B182" s="8" t="s">
        <v>24</v>
      </c>
      <c r="C182" s="10" t="s">
        <v>18</v>
      </c>
      <c r="D182" s="8" t="s">
        <v>28</v>
      </c>
      <c r="E182" s="7" t="str">
        <f t="shared" si="27"/>
        <v>01060308</v>
      </c>
      <c r="F182" s="1" t="s">
        <v>1219</v>
      </c>
      <c r="G182" s="1" t="str">
        <f t="shared" si="30"/>
        <v>抽屉06台阶钻490</v>
      </c>
      <c r="H182" t="str">
        <f t="shared" si="28"/>
        <v>行号03</v>
      </c>
      <c r="I182" s="1" t="str">
        <f t="shared" si="29"/>
        <v>序号08</v>
      </c>
      <c r="J182" s="24"/>
      <c r="K182" s="41"/>
      <c r="L182" s="41"/>
      <c r="M182" s="42">
        <v>0</v>
      </c>
      <c r="N182" s="41">
        <v>0</v>
      </c>
    </row>
    <row r="183" spans="1:16">
      <c r="A183" s="8" t="s">
        <v>14</v>
      </c>
      <c r="B183" s="8" t="s">
        <v>24</v>
      </c>
      <c r="C183" s="8" t="s">
        <v>20</v>
      </c>
      <c r="D183" s="11" t="s">
        <v>14</v>
      </c>
      <c r="E183" s="7" t="str">
        <f t="shared" si="27"/>
        <v>01060401</v>
      </c>
      <c r="F183" s="1" t="s">
        <v>1219</v>
      </c>
      <c r="G183" s="1" t="str">
        <f t="shared" si="30"/>
        <v>抽屉06台阶钻490</v>
      </c>
      <c r="H183" t="str">
        <f t="shared" si="28"/>
        <v>行号04</v>
      </c>
      <c r="I183" s="1" t="str">
        <f t="shared" si="29"/>
        <v>序号01</v>
      </c>
      <c r="J183" s="38"/>
      <c r="K183" s="41"/>
      <c r="L183" s="41"/>
      <c r="M183" s="42">
        <v>0</v>
      </c>
      <c r="N183" s="41">
        <v>0</v>
      </c>
    </row>
    <row r="184" spans="1:16">
      <c r="A184" s="8" t="s">
        <v>14</v>
      </c>
      <c r="B184" s="8" t="s">
        <v>24</v>
      </c>
      <c r="C184" s="8" t="s">
        <v>20</v>
      </c>
      <c r="D184" s="11" t="s">
        <v>16</v>
      </c>
      <c r="E184" s="7" t="str">
        <f t="shared" si="27"/>
        <v>01060402</v>
      </c>
      <c r="F184" s="1" t="s">
        <v>1219</v>
      </c>
      <c r="G184" s="1" t="str">
        <f t="shared" si="30"/>
        <v>抽屉06台阶钻490</v>
      </c>
      <c r="H184" t="str">
        <f t="shared" si="28"/>
        <v>行号04</v>
      </c>
      <c r="I184" s="1" t="str">
        <f t="shared" si="29"/>
        <v>序号02</v>
      </c>
      <c r="J184" s="38"/>
      <c r="K184" s="41"/>
      <c r="L184" s="41"/>
      <c r="M184" s="42">
        <v>0</v>
      </c>
      <c r="N184" s="41">
        <v>0</v>
      </c>
    </row>
    <row r="185" spans="1:16">
      <c r="A185" s="8" t="s">
        <v>14</v>
      </c>
      <c r="B185" s="8" t="s">
        <v>24</v>
      </c>
      <c r="C185" s="8" t="s">
        <v>20</v>
      </c>
      <c r="D185" s="11" t="s">
        <v>18</v>
      </c>
      <c r="E185" s="7" t="str">
        <f t="shared" si="27"/>
        <v>01060403</v>
      </c>
      <c r="F185" s="1" t="s">
        <v>1219</v>
      </c>
      <c r="G185" s="1" t="str">
        <f t="shared" si="30"/>
        <v>抽屉06台阶钻490</v>
      </c>
      <c r="H185" t="str">
        <f t="shared" si="28"/>
        <v>行号04</v>
      </c>
      <c r="I185" s="1" t="str">
        <f t="shared" si="29"/>
        <v>序号03</v>
      </c>
      <c r="J185" s="38"/>
      <c r="K185" s="41"/>
      <c r="L185" s="41"/>
      <c r="M185" s="42">
        <v>0</v>
      </c>
      <c r="N185" s="41">
        <v>0</v>
      </c>
    </row>
    <row r="186" spans="1:16">
      <c r="A186" s="8" t="s">
        <v>14</v>
      </c>
      <c r="B186" s="8" t="s">
        <v>24</v>
      </c>
      <c r="C186" s="8" t="s">
        <v>20</v>
      </c>
      <c r="D186" s="11" t="s">
        <v>20</v>
      </c>
      <c r="E186" s="7" t="str">
        <f t="shared" si="27"/>
        <v>01060404</v>
      </c>
      <c r="F186" s="1" t="s">
        <v>1219</v>
      </c>
      <c r="G186" s="1" t="str">
        <f t="shared" si="30"/>
        <v>抽屉06台阶钻490</v>
      </c>
      <c r="H186" t="str">
        <f t="shared" si="28"/>
        <v>行号04</v>
      </c>
      <c r="I186" s="1" t="str">
        <f t="shared" si="29"/>
        <v>序号04</v>
      </c>
      <c r="J186" s="38"/>
      <c r="K186" s="41"/>
      <c r="L186" s="41"/>
      <c r="M186" s="42">
        <v>0</v>
      </c>
      <c r="N186" s="41">
        <v>0</v>
      </c>
    </row>
    <row r="187" spans="1:16">
      <c r="A187" s="8" t="s">
        <v>14</v>
      </c>
      <c r="B187" s="8" t="s">
        <v>24</v>
      </c>
      <c r="C187" s="8" t="s">
        <v>20</v>
      </c>
      <c r="D187" s="11" t="s">
        <v>22</v>
      </c>
      <c r="E187" s="7" t="str">
        <f t="shared" si="27"/>
        <v>01060405</v>
      </c>
      <c r="F187" s="1" t="s">
        <v>1219</v>
      </c>
      <c r="G187" s="1" t="str">
        <f t="shared" si="30"/>
        <v>抽屉06台阶钻490</v>
      </c>
      <c r="H187" t="str">
        <f t="shared" si="28"/>
        <v>行号04</v>
      </c>
      <c r="I187" s="1" t="str">
        <f t="shared" si="29"/>
        <v>序号05</v>
      </c>
      <c r="J187" s="24"/>
      <c r="K187" s="41"/>
      <c r="L187" s="41"/>
      <c r="M187" s="42">
        <v>0</v>
      </c>
      <c r="N187" s="41">
        <v>0</v>
      </c>
    </row>
    <row r="188" spans="1:16">
      <c r="A188" s="8" t="s">
        <v>14</v>
      </c>
      <c r="B188" s="8" t="s">
        <v>24</v>
      </c>
      <c r="C188" s="8" t="s">
        <v>20</v>
      </c>
      <c r="D188" s="11" t="s">
        <v>24</v>
      </c>
      <c r="E188" s="7" t="str">
        <f t="shared" si="27"/>
        <v>01060406</v>
      </c>
      <c r="F188" s="1" t="s">
        <v>1219</v>
      </c>
      <c r="G188" s="1" t="str">
        <f t="shared" si="30"/>
        <v>抽屉06台阶钻490</v>
      </c>
      <c r="H188" t="str">
        <f t="shared" si="28"/>
        <v>行号04</v>
      </c>
      <c r="I188" s="1" t="str">
        <f t="shared" si="29"/>
        <v>序号06</v>
      </c>
      <c r="J188" s="24"/>
      <c r="K188" s="41"/>
      <c r="L188" s="41"/>
      <c r="M188" s="42">
        <v>0</v>
      </c>
      <c r="N188" s="41">
        <v>0</v>
      </c>
    </row>
    <row r="189" spans="1:16">
      <c r="A189" s="8" t="s">
        <v>14</v>
      </c>
      <c r="B189" s="8" t="s">
        <v>24</v>
      </c>
      <c r="C189" s="8" t="s">
        <v>20</v>
      </c>
      <c r="D189" s="11" t="s">
        <v>26</v>
      </c>
      <c r="E189" s="7" t="str">
        <f t="shared" si="27"/>
        <v>01060407</v>
      </c>
      <c r="F189" s="1" t="s">
        <v>1219</v>
      </c>
      <c r="G189" s="1" t="str">
        <f t="shared" si="30"/>
        <v>抽屉06台阶钻490</v>
      </c>
      <c r="H189" t="str">
        <f t="shared" si="28"/>
        <v>行号04</v>
      </c>
      <c r="I189" s="1" t="str">
        <f t="shared" si="29"/>
        <v>序号07</v>
      </c>
      <c r="J189" s="24"/>
      <c r="K189" s="41"/>
      <c r="L189" s="41"/>
      <c r="M189" s="42">
        <v>0</v>
      </c>
      <c r="N189" s="41">
        <v>0</v>
      </c>
    </row>
    <row r="190" spans="1:16">
      <c r="A190" s="8" t="s">
        <v>14</v>
      </c>
      <c r="B190" s="8" t="s">
        <v>24</v>
      </c>
      <c r="C190" s="8" t="s">
        <v>20</v>
      </c>
      <c r="D190" s="11" t="s">
        <v>28</v>
      </c>
      <c r="E190" s="7" t="str">
        <f t="shared" si="27"/>
        <v>01060408</v>
      </c>
      <c r="F190" s="1" t="s">
        <v>1219</v>
      </c>
      <c r="G190" s="1" t="str">
        <f>"抽屉"&amp;B190&amp;"台阶钻490"</f>
        <v>抽屉06台阶钻490</v>
      </c>
      <c r="H190" t="str">
        <f t="shared" si="28"/>
        <v>行号04</v>
      </c>
      <c r="I190" s="1" t="str">
        <f t="shared" si="29"/>
        <v>序号08</v>
      </c>
      <c r="J190" s="24"/>
      <c r="K190" s="41"/>
      <c r="L190" s="41"/>
      <c r="M190" s="42">
        <v>0</v>
      </c>
      <c r="N190" s="41">
        <v>0</v>
      </c>
    </row>
    <row r="191" spans="1:16">
      <c r="A191" s="8" t="s">
        <v>14</v>
      </c>
      <c r="B191" s="9" t="s">
        <v>26</v>
      </c>
      <c r="C191" s="10" t="s">
        <v>14</v>
      </c>
      <c r="D191" s="8" t="s">
        <v>14</v>
      </c>
      <c r="E191" s="7" t="str">
        <f t="shared" si="27"/>
        <v>01070101</v>
      </c>
      <c r="F191" s="1" t="s">
        <v>1219</v>
      </c>
      <c r="G191" s="1" t="str">
        <f>"抽屉"&amp;B191&amp;"台阶钻422"</f>
        <v>抽屉07台阶钻422</v>
      </c>
      <c r="H191" t="str">
        <f t="shared" si="28"/>
        <v>行号01</v>
      </c>
      <c r="I191" s="1" t="str">
        <f t="shared" si="29"/>
        <v>序号01</v>
      </c>
      <c r="J191" t="s">
        <v>542</v>
      </c>
      <c r="K191" s="39">
        <v>0</v>
      </c>
      <c r="L191" s="39"/>
      <c r="M191" s="33"/>
      <c r="N191" s="39"/>
      <c r="O191" s="32" t="s">
        <v>1233</v>
      </c>
      <c r="P191" s="34">
        <v>272361</v>
      </c>
    </row>
    <row r="192" spans="1:16">
      <c r="A192" s="8" t="s">
        <v>14</v>
      </c>
      <c r="B192" s="9" t="s">
        <v>26</v>
      </c>
      <c r="C192" s="10" t="s">
        <v>14</v>
      </c>
      <c r="D192" s="8" t="s">
        <v>16</v>
      </c>
      <c r="E192" s="7" t="str">
        <f t="shared" si="27"/>
        <v>01070102</v>
      </c>
      <c r="F192" s="1" t="s">
        <v>1219</v>
      </c>
      <c r="G192" s="1" t="str">
        <f t="shared" ref="G192:G221" si="31">"抽屉"&amp;B192&amp;"台阶钻422"</f>
        <v>抽屉07台阶钻422</v>
      </c>
      <c r="H192" t="str">
        <f t="shared" si="28"/>
        <v>行号01</v>
      </c>
      <c r="I192" s="1" t="str">
        <f t="shared" si="29"/>
        <v>序号02</v>
      </c>
      <c r="J192" t="s">
        <v>543</v>
      </c>
      <c r="K192" s="39">
        <v>0</v>
      </c>
      <c r="L192" s="39"/>
      <c r="M192" s="33"/>
      <c r="N192" s="39"/>
      <c r="O192" s="32" t="s">
        <v>1233</v>
      </c>
      <c r="P192" s="34">
        <v>273015</v>
      </c>
    </row>
    <row r="193" spans="1:16">
      <c r="A193" s="8" t="s">
        <v>14</v>
      </c>
      <c r="B193" s="9" t="s">
        <v>26</v>
      </c>
      <c r="C193" s="10" t="s">
        <v>14</v>
      </c>
      <c r="D193" s="8" t="s">
        <v>18</v>
      </c>
      <c r="E193" s="7" t="str">
        <f t="shared" si="27"/>
        <v>01070103</v>
      </c>
      <c r="F193" s="1" t="s">
        <v>1219</v>
      </c>
      <c r="G193" s="1" t="str">
        <f t="shared" si="31"/>
        <v>抽屉07台阶钻422</v>
      </c>
      <c r="H193" t="str">
        <f t="shared" si="28"/>
        <v>行号01</v>
      </c>
      <c r="I193" s="1" t="str">
        <f t="shared" si="29"/>
        <v>序号03</v>
      </c>
      <c r="J193" t="s">
        <v>544</v>
      </c>
      <c r="K193" s="39">
        <v>0</v>
      </c>
      <c r="L193" s="39"/>
      <c r="M193" s="33"/>
      <c r="N193" s="39"/>
      <c r="O193" s="32" t="s">
        <v>1233</v>
      </c>
      <c r="P193" s="34">
        <v>273031</v>
      </c>
    </row>
    <row r="194" spans="1:16">
      <c r="A194" s="8" t="s">
        <v>14</v>
      </c>
      <c r="B194" s="9" t="s">
        <v>26</v>
      </c>
      <c r="C194" s="10" t="s">
        <v>14</v>
      </c>
      <c r="D194" s="8" t="s">
        <v>20</v>
      </c>
      <c r="E194" s="7" t="str">
        <f t="shared" si="27"/>
        <v>01070104</v>
      </c>
      <c r="F194" s="1" t="s">
        <v>1219</v>
      </c>
      <c r="G194" s="1" t="str">
        <f t="shared" si="31"/>
        <v>抽屉07台阶钻422</v>
      </c>
      <c r="H194" t="str">
        <f t="shared" si="28"/>
        <v>行号01</v>
      </c>
      <c r="I194" s="1" t="str">
        <f t="shared" si="29"/>
        <v>序号04</v>
      </c>
      <c r="J194" t="s">
        <v>545</v>
      </c>
      <c r="K194" s="39">
        <v>0</v>
      </c>
      <c r="L194" s="39"/>
      <c r="M194" s="33"/>
      <c r="N194" s="39"/>
      <c r="O194" s="32" t="s">
        <v>1233</v>
      </c>
      <c r="P194" s="34">
        <v>273058</v>
      </c>
    </row>
    <row r="195" spans="1:16">
      <c r="A195" s="8" t="s">
        <v>14</v>
      </c>
      <c r="B195" s="9" t="s">
        <v>26</v>
      </c>
      <c r="C195" s="10" t="s">
        <v>14</v>
      </c>
      <c r="D195" s="8" t="s">
        <v>22</v>
      </c>
      <c r="E195" s="7" t="str">
        <f t="shared" si="27"/>
        <v>01070105</v>
      </c>
      <c r="F195" s="1" t="s">
        <v>1219</v>
      </c>
      <c r="G195" s="1" t="str">
        <f t="shared" si="31"/>
        <v>抽屉07台阶钻422</v>
      </c>
      <c r="H195" t="str">
        <f t="shared" si="28"/>
        <v>行号01</v>
      </c>
      <c r="I195" s="1" t="str">
        <f t="shared" si="29"/>
        <v>序号05</v>
      </c>
      <c r="J195" t="s">
        <v>546</v>
      </c>
      <c r="K195" s="39">
        <v>0</v>
      </c>
      <c r="L195" s="39"/>
      <c r="M195" s="33"/>
      <c r="N195" s="39"/>
      <c r="O195" s="32" t="s">
        <v>1233</v>
      </c>
      <c r="P195" s="34">
        <v>273333</v>
      </c>
    </row>
    <row r="196" spans="1:16">
      <c r="A196" s="8" t="s">
        <v>14</v>
      </c>
      <c r="B196" s="9" t="s">
        <v>26</v>
      </c>
      <c r="C196" s="10" t="s">
        <v>14</v>
      </c>
      <c r="D196" s="8" t="s">
        <v>24</v>
      </c>
      <c r="E196" s="7" t="str">
        <f t="shared" si="27"/>
        <v>01070106</v>
      </c>
      <c r="F196" s="1" t="s">
        <v>1219</v>
      </c>
      <c r="G196" s="1" t="str">
        <f t="shared" si="31"/>
        <v>抽屉07台阶钻422</v>
      </c>
      <c r="H196" t="str">
        <f t="shared" si="28"/>
        <v>行号01</v>
      </c>
      <c r="I196" s="1" t="str">
        <f t="shared" si="29"/>
        <v>序号06</v>
      </c>
      <c r="J196" s="24"/>
      <c r="K196" s="41"/>
      <c r="L196" s="41"/>
      <c r="M196" s="42">
        <v>0</v>
      </c>
      <c r="N196" s="41">
        <v>0</v>
      </c>
    </row>
    <row r="197" spans="1:16">
      <c r="A197" s="8" t="s">
        <v>14</v>
      </c>
      <c r="B197" s="9" t="s">
        <v>26</v>
      </c>
      <c r="C197" s="10" t="s">
        <v>14</v>
      </c>
      <c r="D197" s="8" t="s">
        <v>26</v>
      </c>
      <c r="E197" s="7" t="str">
        <f t="shared" si="27"/>
        <v>01070107</v>
      </c>
      <c r="F197" s="1" t="s">
        <v>1219</v>
      </c>
      <c r="G197" s="1" t="str">
        <f t="shared" si="31"/>
        <v>抽屉07台阶钻422</v>
      </c>
      <c r="H197" t="str">
        <f t="shared" si="28"/>
        <v>行号01</v>
      </c>
      <c r="I197" s="1" t="str">
        <f t="shared" si="29"/>
        <v>序号07</v>
      </c>
      <c r="J197" s="24"/>
      <c r="K197" s="41"/>
      <c r="L197" s="41"/>
      <c r="M197" s="42">
        <v>0</v>
      </c>
      <c r="N197" s="41">
        <v>0</v>
      </c>
    </row>
    <row r="198" spans="1:16">
      <c r="A198" s="8" t="s">
        <v>14</v>
      </c>
      <c r="B198" s="9" t="s">
        <v>26</v>
      </c>
      <c r="C198" s="10" t="s">
        <v>14</v>
      </c>
      <c r="D198" s="8" t="s">
        <v>28</v>
      </c>
      <c r="E198" s="7" t="str">
        <f t="shared" si="27"/>
        <v>01070108</v>
      </c>
      <c r="F198" s="1" t="s">
        <v>1219</v>
      </c>
      <c r="G198" s="1" t="str">
        <f t="shared" si="31"/>
        <v>抽屉07台阶钻422</v>
      </c>
      <c r="H198" t="str">
        <f t="shared" si="28"/>
        <v>行号01</v>
      </c>
      <c r="I198" s="1" t="str">
        <f t="shared" si="29"/>
        <v>序号08</v>
      </c>
      <c r="J198" s="24"/>
      <c r="K198" s="41"/>
      <c r="L198" s="41"/>
      <c r="M198" s="42">
        <v>0</v>
      </c>
      <c r="N198" s="41">
        <v>0</v>
      </c>
    </row>
    <row r="199" spans="1:16">
      <c r="A199" s="8" t="s">
        <v>14</v>
      </c>
      <c r="B199" s="9" t="s">
        <v>26</v>
      </c>
      <c r="C199" s="8" t="s">
        <v>16</v>
      </c>
      <c r="D199" s="11" t="s">
        <v>14</v>
      </c>
      <c r="E199" s="7" t="str">
        <f t="shared" ref="E199:E262" si="32">A199&amp;B199&amp;C199&amp;D199</f>
        <v>01070201</v>
      </c>
      <c r="F199" s="1" t="s">
        <v>1219</v>
      </c>
      <c r="G199" s="1" t="str">
        <f t="shared" si="31"/>
        <v>抽屉07台阶钻422</v>
      </c>
      <c r="H199" t="str">
        <f t="shared" ref="H199:H262" si="33">"行号"&amp;C199</f>
        <v>行号02</v>
      </c>
      <c r="I199" s="1" t="str">
        <f t="shared" ref="I199:I262" si="34">"序号"&amp;D199</f>
        <v>序号01</v>
      </c>
      <c r="J199" s="36" t="s">
        <v>547</v>
      </c>
      <c r="K199" s="39">
        <v>0</v>
      </c>
      <c r="L199" s="39"/>
      <c r="M199" s="33"/>
      <c r="N199" s="39"/>
      <c r="O199" s="32" t="s">
        <v>1233</v>
      </c>
      <c r="P199" s="34">
        <v>273341</v>
      </c>
    </row>
    <row r="200" spans="1:16">
      <c r="A200" s="8" t="s">
        <v>14</v>
      </c>
      <c r="B200" s="9" t="s">
        <v>26</v>
      </c>
      <c r="C200" s="8" t="s">
        <v>16</v>
      </c>
      <c r="D200" s="11" t="s">
        <v>16</v>
      </c>
      <c r="E200" s="7" t="str">
        <f t="shared" si="32"/>
        <v>01070202</v>
      </c>
      <c r="F200" s="1" t="s">
        <v>1219</v>
      </c>
      <c r="G200" s="1" t="str">
        <f t="shared" si="31"/>
        <v>抽屉07台阶钻422</v>
      </c>
      <c r="H200" t="str">
        <f t="shared" si="33"/>
        <v>行号02</v>
      </c>
      <c r="I200" s="1" t="str">
        <f t="shared" si="34"/>
        <v>序号02</v>
      </c>
      <c r="J200" s="36" t="s">
        <v>548</v>
      </c>
      <c r="K200" s="39">
        <v>0</v>
      </c>
      <c r="L200" s="39"/>
      <c r="M200" s="33"/>
      <c r="N200" s="39"/>
      <c r="O200" s="32" t="s">
        <v>1233</v>
      </c>
      <c r="P200" s="34">
        <v>273589</v>
      </c>
    </row>
    <row r="201" spans="1:16">
      <c r="A201" s="8" t="s">
        <v>14</v>
      </c>
      <c r="B201" s="9" t="s">
        <v>26</v>
      </c>
      <c r="C201" s="8" t="s">
        <v>16</v>
      </c>
      <c r="D201" s="11" t="s">
        <v>18</v>
      </c>
      <c r="E201" s="7" t="str">
        <f t="shared" si="32"/>
        <v>01070203</v>
      </c>
      <c r="F201" s="1" t="s">
        <v>1219</v>
      </c>
      <c r="G201" s="1" t="str">
        <f t="shared" si="31"/>
        <v>抽屉07台阶钻422</v>
      </c>
      <c r="H201" t="str">
        <f t="shared" si="33"/>
        <v>行号02</v>
      </c>
      <c r="I201" s="1" t="str">
        <f t="shared" si="34"/>
        <v>序号03</v>
      </c>
      <c r="J201" s="36" t="s">
        <v>549</v>
      </c>
      <c r="K201" s="39">
        <v>0</v>
      </c>
      <c r="L201" s="39"/>
      <c r="M201" s="33"/>
      <c r="N201" s="39"/>
      <c r="O201" s="32" t="s">
        <v>1233</v>
      </c>
      <c r="P201" s="34">
        <v>273643</v>
      </c>
    </row>
    <row r="202" spans="1:16">
      <c r="A202" s="8" t="s">
        <v>14</v>
      </c>
      <c r="B202" s="9" t="s">
        <v>26</v>
      </c>
      <c r="C202" s="8" t="s">
        <v>16</v>
      </c>
      <c r="D202" s="11" t="s">
        <v>20</v>
      </c>
      <c r="E202" s="7" t="str">
        <f t="shared" si="32"/>
        <v>01070204</v>
      </c>
      <c r="F202" s="1" t="s">
        <v>1219</v>
      </c>
      <c r="G202" s="1" t="str">
        <f t="shared" si="31"/>
        <v>抽屉07台阶钻422</v>
      </c>
      <c r="H202" t="str">
        <f t="shared" si="33"/>
        <v>行号02</v>
      </c>
      <c r="I202" s="1" t="str">
        <f t="shared" si="34"/>
        <v>序号04</v>
      </c>
      <c r="J202" s="36" t="s">
        <v>550</v>
      </c>
      <c r="K202" s="39">
        <v>0</v>
      </c>
      <c r="L202" s="39"/>
      <c r="M202" s="33"/>
      <c r="N202" s="39"/>
      <c r="O202" s="32" t="s">
        <v>1233</v>
      </c>
      <c r="P202" s="34">
        <v>431818</v>
      </c>
    </row>
    <row r="203" spans="1:16">
      <c r="A203" s="8" t="s">
        <v>14</v>
      </c>
      <c r="B203" s="9" t="s">
        <v>26</v>
      </c>
      <c r="C203" s="8" t="s">
        <v>16</v>
      </c>
      <c r="D203" s="11" t="s">
        <v>22</v>
      </c>
      <c r="E203" s="7" t="str">
        <f t="shared" si="32"/>
        <v>01070205</v>
      </c>
      <c r="F203" s="1" t="s">
        <v>1219</v>
      </c>
      <c r="G203" s="1" t="str">
        <f t="shared" si="31"/>
        <v>抽屉07台阶钻422</v>
      </c>
      <c r="H203" t="str">
        <f t="shared" si="33"/>
        <v>行号02</v>
      </c>
      <c r="I203" s="1" t="str">
        <f t="shared" si="34"/>
        <v>序号05</v>
      </c>
      <c r="J203" s="36"/>
      <c r="K203" s="39"/>
      <c r="L203" s="39"/>
      <c r="M203" s="33">
        <v>0</v>
      </c>
      <c r="N203" s="39">
        <v>0</v>
      </c>
    </row>
    <row r="204" spans="1:16">
      <c r="A204" s="8" t="s">
        <v>14</v>
      </c>
      <c r="B204" s="9" t="s">
        <v>26</v>
      </c>
      <c r="C204" s="8" t="s">
        <v>16</v>
      </c>
      <c r="D204" s="11" t="s">
        <v>24</v>
      </c>
      <c r="E204" s="7" t="str">
        <f t="shared" si="32"/>
        <v>01070206</v>
      </c>
      <c r="F204" s="1" t="s">
        <v>1219</v>
      </c>
      <c r="G204" s="1" t="str">
        <f t="shared" si="31"/>
        <v>抽屉07台阶钻422</v>
      </c>
      <c r="H204" t="str">
        <f t="shared" si="33"/>
        <v>行号02</v>
      </c>
      <c r="I204" s="1" t="str">
        <f t="shared" si="34"/>
        <v>序号06</v>
      </c>
      <c r="J204" s="24"/>
      <c r="K204" s="41"/>
      <c r="L204" s="41"/>
      <c r="M204" s="42">
        <v>0</v>
      </c>
      <c r="N204" s="41">
        <v>0</v>
      </c>
    </row>
    <row r="205" spans="1:16">
      <c r="A205" s="8" t="s">
        <v>14</v>
      </c>
      <c r="B205" s="9" t="s">
        <v>26</v>
      </c>
      <c r="C205" s="8" t="s">
        <v>16</v>
      </c>
      <c r="D205" s="11" t="s">
        <v>26</v>
      </c>
      <c r="E205" s="7" t="str">
        <f t="shared" si="32"/>
        <v>01070207</v>
      </c>
      <c r="F205" s="1" t="s">
        <v>1219</v>
      </c>
      <c r="G205" s="1" t="str">
        <f t="shared" si="31"/>
        <v>抽屉07台阶钻422</v>
      </c>
      <c r="H205" t="str">
        <f t="shared" si="33"/>
        <v>行号02</v>
      </c>
      <c r="I205" s="1" t="str">
        <f t="shared" si="34"/>
        <v>序号07</v>
      </c>
      <c r="J205" s="24"/>
      <c r="K205" s="41"/>
      <c r="L205" s="41"/>
      <c r="M205" s="42">
        <v>0</v>
      </c>
      <c r="N205" s="41">
        <v>0</v>
      </c>
    </row>
    <row r="206" spans="1:16">
      <c r="A206" s="8" t="s">
        <v>14</v>
      </c>
      <c r="B206" s="9" t="s">
        <v>26</v>
      </c>
      <c r="C206" s="8" t="s">
        <v>16</v>
      </c>
      <c r="D206" s="11" t="s">
        <v>28</v>
      </c>
      <c r="E206" s="7" t="str">
        <f t="shared" si="32"/>
        <v>01070208</v>
      </c>
      <c r="F206" s="1" t="s">
        <v>1219</v>
      </c>
      <c r="G206" s="1" t="str">
        <f t="shared" si="31"/>
        <v>抽屉07台阶钻422</v>
      </c>
      <c r="H206" t="str">
        <f t="shared" si="33"/>
        <v>行号02</v>
      </c>
      <c r="I206" s="1" t="str">
        <f t="shared" si="34"/>
        <v>序号08</v>
      </c>
      <c r="J206" s="24"/>
      <c r="K206" s="41"/>
      <c r="L206" s="41"/>
      <c r="M206" s="42">
        <v>0</v>
      </c>
      <c r="N206" s="41">
        <v>0</v>
      </c>
    </row>
    <row r="207" spans="1:16">
      <c r="A207" s="8" t="s">
        <v>14</v>
      </c>
      <c r="B207" s="9" t="s">
        <v>26</v>
      </c>
      <c r="C207" s="10" t="s">
        <v>18</v>
      </c>
      <c r="D207" s="8" t="s">
        <v>14</v>
      </c>
      <c r="E207" s="7" t="str">
        <f t="shared" si="32"/>
        <v>01070301</v>
      </c>
      <c r="F207" s="1" t="s">
        <v>1219</v>
      </c>
      <c r="G207" s="1" t="str">
        <f t="shared" si="31"/>
        <v>抽屉07台阶钻422</v>
      </c>
      <c r="H207" t="str">
        <f t="shared" si="33"/>
        <v>行号03</v>
      </c>
      <c r="I207" s="1" t="str">
        <f t="shared" si="34"/>
        <v>序号01</v>
      </c>
      <c r="J207" s="36" t="s">
        <v>550</v>
      </c>
      <c r="K207" s="39">
        <v>0</v>
      </c>
      <c r="L207" s="39"/>
      <c r="M207" s="33"/>
      <c r="N207" s="39"/>
      <c r="O207" s="32" t="s">
        <v>1233</v>
      </c>
      <c r="P207" s="34">
        <v>431818</v>
      </c>
    </row>
    <row r="208" spans="1:16">
      <c r="A208" s="8" t="s">
        <v>14</v>
      </c>
      <c r="B208" s="9" t="s">
        <v>26</v>
      </c>
      <c r="C208" s="10" t="s">
        <v>18</v>
      </c>
      <c r="D208" s="8" t="s">
        <v>16</v>
      </c>
      <c r="E208" s="7" t="str">
        <f t="shared" si="32"/>
        <v>01070302</v>
      </c>
      <c r="F208" s="1" t="s">
        <v>1219</v>
      </c>
      <c r="G208" s="1" t="str">
        <f t="shared" si="31"/>
        <v>抽屉07台阶钻422</v>
      </c>
      <c r="H208" t="str">
        <f t="shared" si="33"/>
        <v>行号03</v>
      </c>
      <c r="I208" s="1" t="str">
        <f t="shared" si="34"/>
        <v>序号02</v>
      </c>
      <c r="J208" s="36" t="s">
        <v>551</v>
      </c>
      <c r="K208" s="39">
        <v>0</v>
      </c>
      <c r="L208" s="39"/>
      <c r="M208" s="48"/>
      <c r="N208" s="48"/>
      <c r="O208" s="32" t="s">
        <v>1233</v>
      </c>
      <c r="P208" s="34">
        <v>443425</v>
      </c>
    </row>
    <row r="209" spans="1:16">
      <c r="A209" s="8" t="s">
        <v>14</v>
      </c>
      <c r="B209" s="9" t="s">
        <v>26</v>
      </c>
      <c r="C209" s="10" t="s">
        <v>18</v>
      </c>
      <c r="D209" s="8" t="s">
        <v>18</v>
      </c>
      <c r="E209" s="7" t="str">
        <f t="shared" si="32"/>
        <v>01070303</v>
      </c>
      <c r="F209" s="1" t="s">
        <v>1219</v>
      </c>
      <c r="G209" s="1" t="str">
        <f t="shared" si="31"/>
        <v>抽屉07台阶钻422</v>
      </c>
      <c r="H209" t="str">
        <f t="shared" si="33"/>
        <v>行号03</v>
      </c>
      <c r="I209" s="1" t="str">
        <f t="shared" si="34"/>
        <v>序号03</v>
      </c>
      <c r="J209" s="36" t="s">
        <v>552</v>
      </c>
      <c r="K209" s="39">
        <v>0</v>
      </c>
      <c r="L209" s="39"/>
      <c r="M209" s="33"/>
      <c r="N209" s="39"/>
      <c r="O209" s="32" t="s">
        <v>1233</v>
      </c>
      <c r="P209" s="34">
        <v>267553</v>
      </c>
    </row>
    <row r="210" spans="1:16">
      <c r="A210" s="8" t="s">
        <v>14</v>
      </c>
      <c r="B210" s="9" t="s">
        <v>26</v>
      </c>
      <c r="C210" s="10" t="s">
        <v>18</v>
      </c>
      <c r="D210" s="8" t="s">
        <v>20</v>
      </c>
      <c r="E210" s="7" t="str">
        <f t="shared" si="32"/>
        <v>01070304</v>
      </c>
      <c r="F210" s="1" t="s">
        <v>1219</v>
      </c>
      <c r="G210" s="1" t="str">
        <f t="shared" si="31"/>
        <v>抽屉07台阶钻422</v>
      </c>
      <c r="H210" t="str">
        <f t="shared" si="33"/>
        <v>行号03</v>
      </c>
      <c r="I210" s="1" t="str">
        <f t="shared" si="34"/>
        <v>序号04</v>
      </c>
      <c r="J210" s="36" t="s">
        <v>553</v>
      </c>
      <c r="K210" s="39">
        <v>0</v>
      </c>
      <c r="L210" s="39"/>
      <c r="M210" s="33"/>
      <c r="N210" s="39"/>
      <c r="O210" s="32" t="s">
        <v>1233</v>
      </c>
      <c r="P210" s="34">
        <v>663883</v>
      </c>
    </row>
    <row r="211" spans="1:16">
      <c r="A211" s="8" t="s">
        <v>14</v>
      </c>
      <c r="B211" s="9" t="s">
        <v>26</v>
      </c>
      <c r="C211" s="10" t="s">
        <v>18</v>
      </c>
      <c r="D211" s="8" t="s">
        <v>22</v>
      </c>
      <c r="E211" s="7" t="str">
        <f t="shared" si="32"/>
        <v>01070305</v>
      </c>
      <c r="F211" s="1" t="s">
        <v>1219</v>
      </c>
      <c r="G211" s="1" t="str">
        <f t="shared" si="31"/>
        <v>抽屉07台阶钻422</v>
      </c>
      <c r="H211" t="str">
        <f t="shared" si="33"/>
        <v>行号03</v>
      </c>
      <c r="I211" s="1" t="str">
        <f t="shared" si="34"/>
        <v>序号05</v>
      </c>
      <c r="J211" s="24"/>
      <c r="K211" s="41"/>
      <c r="L211" s="41"/>
      <c r="M211" s="42">
        <v>0</v>
      </c>
      <c r="N211" s="41">
        <v>0</v>
      </c>
    </row>
    <row r="212" spans="1:16">
      <c r="A212" s="8" t="s">
        <v>14</v>
      </c>
      <c r="B212" s="9" t="s">
        <v>26</v>
      </c>
      <c r="C212" s="10" t="s">
        <v>18</v>
      </c>
      <c r="D212" s="8" t="s">
        <v>24</v>
      </c>
      <c r="E212" s="7" t="str">
        <f t="shared" si="32"/>
        <v>01070306</v>
      </c>
      <c r="F212" s="1" t="s">
        <v>1219</v>
      </c>
      <c r="G212" s="1" t="str">
        <f t="shared" si="31"/>
        <v>抽屉07台阶钻422</v>
      </c>
      <c r="H212" t="str">
        <f t="shared" si="33"/>
        <v>行号03</v>
      </c>
      <c r="I212" s="1" t="str">
        <f t="shared" si="34"/>
        <v>序号06</v>
      </c>
      <c r="J212" s="24"/>
      <c r="K212" s="41"/>
      <c r="L212" s="41"/>
      <c r="M212" s="42">
        <v>0</v>
      </c>
      <c r="N212" s="41">
        <v>0</v>
      </c>
    </row>
    <row r="213" spans="1:16">
      <c r="A213" s="8" t="s">
        <v>14</v>
      </c>
      <c r="B213" s="9" t="s">
        <v>26</v>
      </c>
      <c r="C213" s="10" t="s">
        <v>18</v>
      </c>
      <c r="D213" s="8" t="s">
        <v>26</v>
      </c>
      <c r="E213" s="7" t="str">
        <f t="shared" si="32"/>
        <v>01070307</v>
      </c>
      <c r="F213" s="1" t="s">
        <v>1219</v>
      </c>
      <c r="G213" s="1" t="str">
        <f t="shared" si="31"/>
        <v>抽屉07台阶钻422</v>
      </c>
      <c r="H213" t="str">
        <f t="shared" si="33"/>
        <v>行号03</v>
      </c>
      <c r="I213" s="1" t="str">
        <f t="shared" si="34"/>
        <v>序号07</v>
      </c>
      <c r="J213" s="24"/>
      <c r="K213" s="41"/>
      <c r="L213" s="41"/>
      <c r="M213" s="42">
        <v>0</v>
      </c>
      <c r="N213" s="41">
        <v>0</v>
      </c>
    </row>
    <row r="214" spans="1:16">
      <c r="A214" s="8" t="s">
        <v>14</v>
      </c>
      <c r="B214" s="9" t="s">
        <v>26</v>
      </c>
      <c r="C214" s="10" t="s">
        <v>18</v>
      </c>
      <c r="D214" s="8" t="s">
        <v>28</v>
      </c>
      <c r="E214" s="7" t="str">
        <f t="shared" si="32"/>
        <v>01070308</v>
      </c>
      <c r="F214" s="1" t="s">
        <v>1219</v>
      </c>
      <c r="G214" s="1" t="str">
        <f t="shared" si="31"/>
        <v>抽屉07台阶钻422</v>
      </c>
      <c r="H214" t="str">
        <f t="shared" si="33"/>
        <v>行号03</v>
      </c>
      <c r="I214" s="1" t="str">
        <f t="shared" si="34"/>
        <v>序号08</v>
      </c>
      <c r="J214" s="24"/>
      <c r="K214" s="41"/>
      <c r="L214" s="41"/>
      <c r="M214" s="42">
        <v>0</v>
      </c>
      <c r="N214" s="41">
        <v>0</v>
      </c>
    </row>
    <row r="215" spans="1:16">
      <c r="A215" s="8" t="s">
        <v>14</v>
      </c>
      <c r="B215" s="9" t="s">
        <v>26</v>
      </c>
      <c r="C215" s="8" t="s">
        <v>20</v>
      </c>
      <c r="D215" s="11" t="s">
        <v>14</v>
      </c>
      <c r="E215" s="7" t="str">
        <f t="shared" si="32"/>
        <v>01070401</v>
      </c>
      <c r="F215" s="1" t="s">
        <v>1219</v>
      </c>
      <c r="G215" s="1" t="str">
        <f t="shared" si="31"/>
        <v>抽屉07台阶钻422</v>
      </c>
      <c r="H215" t="str">
        <f t="shared" si="33"/>
        <v>行号04</v>
      </c>
      <c r="I215" s="1" t="str">
        <f t="shared" si="34"/>
        <v>序号01</v>
      </c>
      <c r="J215" s="36" t="s">
        <v>554</v>
      </c>
      <c r="K215" s="39">
        <v>0</v>
      </c>
      <c r="L215" s="39"/>
      <c r="M215" s="33"/>
      <c r="N215" s="39"/>
      <c r="O215" s="32" t="s">
        <v>1233</v>
      </c>
      <c r="P215" s="34">
        <v>787107</v>
      </c>
    </row>
    <row r="216" spans="1:16">
      <c r="A216" s="8" t="s">
        <v>14</v>
      </c>
      <c r="B216" s="9" t="s">
        <v>26</v>
      </c>
      <c r="C216" s="8" t="s">
        <v>20</v>
      </c>
      <c r="D216" s="11" t="s">
        <v>16</v>
      </c>
      <c r="E216" s="7" t="str">
        <f t="shared" si="32"/>
        <v>01070402</v>
      </c>
      <c r="F216" s="1" t="s">
        <v>1219</v>
      </c>
      <c r="G216" s="1" t="str">
        <f t="shared" si="31"/>
        <v>抽屉07台阶钻422</v>
      </c>
      <c r="H216" t="str">
        <f t="shared" si="33"/>
        <v>行号04</v>
      </c>
      <c r="I216" s="1" t="str">
        <f t="shared" si="34"/>
        <v>序号02</v>
      </c>
      <c r="J216" s="36" t="s">
        <v>555</v>
      </c>
      <c r="K216" s="39"/>
      <c r="L216" s="39"/>
      <c r="M216" s="33"/>
      <c r="N216" s="39"/>
      <c r="O216" s="32" t="s">
        <v>1233</v>
      </c>
      <c r="P216" s="34">
        <v>787110</v>
      </c>
    </row>
    <row r="217" spans="1:16">
      <c r="A217" s="8" t="s">
        <v>14</v>
      </c>
      <c r="B217" s="9" t="s">
        <v>26</v>
      </c>
      <c r="C217" s="8" t="s">
        <v>20</v>
      </c>
      <c r="D217" s="11" t="s">
        <v>18</v>
      </c>
      <c r="E217" s="7" t="str">
        <f t="shared" si="32"/>
        <v>01070403</v>
      </c>
      <c r="F217" s="1" t="s">
        <v>1219</v>
      </c>
      <c r="G217" s="1" t="str">
        <f t="shared" si="31"/>
        <v>抽屉07台阶钻422</v>
      </c>
      <c r="H217" t="str">
        <f t="shared" si="33"/>
        <v>行号04</v>
      </c>
      <c r="I217" s="1" t="str">
        <f t="shared" si="34"/>
        <v>序号03</v>
      </c>
      <c r="J217" s="36" t="s">
        <v>556</v>
      </c>
      <c r="K217" s="39">
        <v>0</v>
      </c>
      <c r="L217" s="39"/>
      <c r="M217" s="33"/>
      <c r="N217" s="39"/>
      <c r="O217" s="32" t="s">
        <v>1233</v>
      </c>
      <c r="P217" s="34">
        <v>787123</v>
      </c>
    </row>
    <row r="218" spans="1:16">
      <c r="A218" s="8" t="s">
        <v>14</v>
      </c>
      <c r="B218" s="9" t="s">
        <v>26</v>
      </c>
      <c r="C218" s="8" t="s">
        <v>20</v>
      </c>
      <c r="D218" s="11" t="s">
        <v>20</v>
      </c>
      <c r="E218" s="7" t="str">
        <f t="shared" si="32"/>
        <v>01070404</v>
      </c>
      <c r="F218" s="1" t="s">
        <v>1219</v>
      </c>
      <c r="G218" s="1" t="str">
        <f t="shared" si="31"/>
        <v>抽屉07台阶钻422</v>
      </c>
      <c r="H218" t="str">
        <f t="shared" si="33"/>
        <v>行号04</v>
      </c>
      <c r="I218" s="1" t="str">
        <f t="shared" si="34"/>
        <v>序号04</v>
      </c>
      <c r="J218" s="36" t="s">
        <v>557</v>
      </c>
      <c r="K218" s="39"/>
      <c r="L218" s="39"/>
      <c r="M218" s="33"/>
      <c r="N218" s="39"/>
      <c r="O218" s="32" t="s">
        <v>1233</v>
      </c>
      <c r="P218" s="34">
        <v>787131</v>
      </c>
    </row>
    <row r="219" spans="1:16">
      <c r="A219" s="8" t="s">
        <v>14</v>
      </c>
      <c r="B219" s="9" t="s">
        <v>26</v>
      </c>
      <c r="C219" s="8" t="s">
        <v>20</v>
      </c>
      <c r="D219" s="11" t="s">
        <v>22</v>
      </c>
      <c r="E219" s="7" t="str">
        <f t="shared" si="32"/>
        <v>01070405</v>
      </c>
      <c r="F219" s="1" t="s">
        <v>1219</v>
      </c>
      <c r="G219" s="1" t="str">
        <f t="shared" si="31"/>
        <v>抽屉07台阶钻422</v>
      </c>
      <c r="H219" t="str">
        <f t="shared" si="33"/>
        <v>行号04</v>
      </c>
      <c r="I219" s="1" t="str">
        <f t="shared" si="34"/>
        <v>序号05</v>
      </c>
      <c r="J219" t="s">
        <v>558</v>
      </c>
      <c r="K219" s="39">
        <v>0</v>
      </c>
      <c r="L219" s="39"/>
      <c r="M219" s="33"/>
      <c r="N219" s="39"/>
      <c r="O219" s="32" t="s">
        <v>1233</v>
      </c>
      <c r="P219" s="34">
        <v>787138</v>
      </c>
    </row>
    <row r="220" spans="1:16">
      <c r="A220" s="8" t="s">
        <v>14</v>
      </c>
      <c r="B220" s="9" t="s">
        <v>26</v>
      </c>
      <c r="C220" s="8" t="s">
        <v>20</v>
      </c>
      <c r="D220" s="11" t="s">
        <v>24</v>
      </c>
      <c r="E220" s="7" t="str">
        <f t="shared" si="32"/>
        <v>01070406</v>
      </c>
      <c r="F220" s="1" t="s">
        <v>1219</v>
      </c>
      <c r="G220" s="1" t="str">
        <f t="shared" si="31"/>
        <v>抽屉07台阶钻422</v>
      </c>
      <c r="H220" t="str">
        <f t="shared" si="33"/>
        <v>行号04</v>
      </c>
      <c r="I220" s="1" t="str">
        <f t="shared" si="34"/>
        <v>序号06</v>
      </c>
      <c r="J220" t="s">
        <v>559</v>
      </c>
      <c r="K220" s="39">
        <v>0</v>
      </c>
      <c r="L220" s="39"/>
      <c r="M220" s="48"/>
      <c r="N220" s="48"/>
      <c r="O220" s="32" t="s">
        <v>1233</v>
      </c>
      <c r="P220" s="34">
        <v>787335</v>
      </c>
    </row>
    <row r="221" spans="1:16">
      <c r="A221" s="8" t="s">
        <v>14</v>
      </c>
      <c r="B221" s="9" t="s">
        <v>26</v>
      </c>
      <c r="C221" s="8" t="s">
        <v>20</v>
      </c>
      <c r="D221" s="11" t="s">
        <v>26</v>
      </c>
      <c r="E221" s="7" t="str">
        <f t="shared" si="32"/>
        <v>01070407</v>
      </c>
      <c r="F221" s="1" t="s">
        <v>1219</v>
      </c>
      <c r="G221" s="1" t="str">
        <f t="shared" si="31"/>
        <v>抽屉07台阶钻422</v>
      </c>
      <c r="H221" t="str">
        <f t="shared" si="33"/>
        <v>行号04</v>
      </c>
      <c r="I221" s="1" t="str">
        <f t="shared" si="34"/>
        <v>序号07</v>
      </c>
      <c r="J221" t="s">
        <v>1270</v>
      </c>
      <c r="K221" s="39">
        <v>0</v>
      </c>
      <c r="L221" s="39"/>
      <c r="M221" s="48"/>
      <c r="N221" s="48"/>
      <c r="O221" s="32" t="s">
        <v>1234</v>
      </c>
    </row>
    <row r="222" spans="1:16">
      <c r="A222" s="8" t="s">
        <v>14</v>
      </c>
      <c r="B222" s="9" t="s">
        <v>26</v>
      </c>
      <c r="C222" s="8" t="s">
        <v>20</v>
      </c>
      <c r="D222" s="11" t="s">
        <v>28</v>
      </c>
      <c r="E222" s="7" t="str">
        <f t="shared" si="32"/>
        <v>01070408</v>
      </c>
      <c r="F222" s="1" t="s">
        <v>1219</v>
      </c>
      <c r="G222" s="1" t="str">
        <f>"抽屉"&amp;B222&amp;"台阶钻422"</f>
        <v>抽屉07台阶钻422</v>
      </c>
      <c r="H222" t="str">
        <f t="shared" si="33"/>
        <v>行号04</v>
      </c>
      <c r="I222" s="1" t="str">
        <f t="shared" si="34"/>
        <v>序号08</v>
      </c>
      <c r="J222" s="24"/>
      <c r="K222" s="41"/>
      <c r="L222" s="41"/>
      <c r="M222" s="42">
        <v>0</v>
      </c>
      <c r="N222" s="41">
        <v>0</v>
      </c>
    </row>
    <row r="223" spans="1:16">
      <c r="A223" s="8" t="s">
        <v>14</v>
      </c>
      <c r="B223" s="8" t="s">
        <v>28</v>
      </c>
      <c r="C223" s="10" t="s">
        <v>14</v>
      </c>
      <c r="D223" s="8" t="s">
        <v>14</v>
      </c>
      <c r="E223" s="7" t="str">
        <f t="shared" si="32"/>
        <v>01080101</v>
      </c>
      <c r="F223" s="1" t="s">
        <v>1219</v>
      </c>
      <c r="G223" s="1" t="str">
        <f>"抽屉"&amp;B223&amp;"台阶钻422"</f>
        <v>抽屉08台阶钻422</v>
      </c>
      <c r="H223" t="str">
        <f t="shared" si="33"/>
        <v>行号01</v>
      </c>
      <c r="I223" s="1" t="str">
        <f t="shared" si="34"/>
        <v>序号01</v>
      </c>
      <c r="J223" s="36" t="s">
        <v>560</v>
      </c>
      <c r="K223" s="39">
        <v>0</v>
      </c>
      <c r="L223" s="39"/>
      <c r="M223" s="33"/>
      <c r="N223" s="39"/>
      <c r="O223" s="32" t="s">
        <v>1234</v>
      </c>
      <c r="P223" s="34">
        <v>276731</v>
      </c>
    </row>
    <row r="224" spans="1:16">
      <c r="A224" s="8" t="s">
        <v>14</v>
      </c>
      <c r="B224" s="8" t="s">
        <v>28</v>
      </c>
      <c r="C224" s="10" t="s">
        <v>14</v>
      </c>
      <c r="D224" s="8" t="s">
        <v>16</v>
      </c>
      <c r="E224" s="7" t="str">
        <f t="shared" si="32"/>
        <v>01080102</v>
      </c>
      <c r="F224" s="1" t="s">
        <v>1219</v>
      </c>
      <c r="G224" s="1" t="str">
        <f t="shared" ref="G224:G254" si="35">"抽屉"&amp;B224&amp;"台阶钻422"</f>
        <v>抽屉08台阶钻422</v>
      </c>
      <c r="H224" t="str">
        <f t="shared" si="33"/>
        <v>行号01</v>
      </c>
      <c r="I224" s="1" t="str">
        <f t="shared" si="34"/>
        <v>序号02</v>
      </c>
      <c r="J224" s="36" t="s">
        <v>561</v>
      </c>
      <c r="K224" s="39">
        <v>0</v>
      </c>
      <c r="L224" s="39"/>
      <c r="M224" s="33"/>
      <c r="N224" s="39"/>
      <c r="O224" s="32" t="s">
        <v>1233</v>
      </c>
      <c r="P224" s="34">
        <v>276731</v>
      </c>
    </row>
    <row r="225" spans="1:16">
      <c r="A225" s="8" t="s">
        <v>14</v>
      </c>
      <c r="B225" s="8" t="s">
        <v>28</v>
      </c>
      <c r="C225" s="10" t="s">
        <v>14</v>
      </c>
      <c r="D225" s="8" t="s">
        <v>18</v>
      </c>
      <c r="E225" s="7" t="str">
        <f t="shared" si="32"/>
        <v>01080103</v>
      </c>
      <c r="F225" s="1" t="s">
        <v>1219</v>
      </c>
      <c r="G225" s="1" t="str">
        <f t="shared" si="35"/>
        <v>抽屉08台阶钻422</v>
      </c>
      <c r="H225" t="str">
        <f t="shared" si="33"/>
        <v>行号01</v>
      </c>
      <c r="I225" s="1" t="str">
        <f t="shared" si="34"/>
        <v>序号03</v>
      </c>
      <c r="J225" s="36" t="s">
        <v>562</v>
      </c>
      <c r="K225" s="39">
        <v>0</v>
      </c>
      <c r="L225" s="39"/>
      <c r="M225" s="33"/>
      <c r="N225" s="39"/>
      <c r="O225" s="32" t="s">
        <v>1233</v>
      </c>
      <c r="P225" s="34">
        <v>284955</v>
      </c>
    </row>
    <row r="226" spans="1:16">
      <c r="A226" s="8" t="s">
        <v>14</v>
      </c>
      <c r="B226" s="8" t="s">
        <v>28</v>
      </c>
      <c r="C226" s="10" t="s">
        <v>14</v>
      </c>
      <c r="D226" s="8" t="s">
        <v>20</v>
      </c>
      <c r="E226" s="7" t="str">
        <f t="shared" si="32"/>
        <v>01080104</v>
      </c>
      <c r="F226" s="1" t="s">
        <v>1219</v>
      </c>
      <c r="G226" s="1" t="str">
        <f t="shared" si="35"/>
        <v>抽屉08台阶钻422</v>
      </c>
      <c r="H226" t="str">
        <f t="shared" si="33"/>
        <v>行号01</v>
      </c>
      <c r="I226" s="1" t="str">
        <f t="shared" si="34"/>
        <v>序号04</v>
      </c>
      <c r="J226" s="36" t="s">
        <v>563</v>
      </c>
      <c r="K226" s="39">
        <v>0</v>
      </c>
      <c r="L226" s="39"/>
      <c r="M226" s="33"/>
      <c r="N226" s="39"/>
      <c r="O226" s="32" t="s">
        <v>1233</v>
      </c>
      <c r="P226" s="34">
        <v>331945</v>
      </c>
    </row>
    <row r="227" spans="1:16">
      <c r="A227" s="8" t="s">
        <v>14</v>
      </c>
      <c r="B227" s="8" t="s">
        <v>28</v>
      </c>
      <c r="C227" s="10" t="s">
        <v>14</v>
      </c>
      <c r="D227" s="8" t="s">
        <v>22</v>
      </c>
      <c r="E227" s="7" t="str">
        <f t="shared" si="32"/>
        <v>01080105</v>
      </c>
      <c r="F227" s="1" t="s">
        <v>1219</v>
      </c>
      <c r="G227" s="1" t="str">
        <f t="shared" si="35"/>
        <v>抽屉08台阶钻422</v>
      </c>
      <c r="H227" t="str">
        <f t="shared" si="33"/>
        <v>行号01</v>
      </c>
      <c r="I227" s="1" t="str">
        <f t="shared" si="34"/>
        <v>序号05</v>
      </c>
      <c r="J227" s="36" t="s">
        <v>564</v>
      </c>
      <c r="K227" s="39">
        <v>0</v>
      </c>
      <c r="L227" s="39"/>
      <c r="M227" s="33"/>
      <c r="N227" s="39"/>
      <c r="O227" s="32" t="s">
        <v>1233</v>
      </c>
      <c r="P227" s="34">
        <v>284971</v>
      </c>
    </row>
    <row r="228" spans="1:16">
      <c r="A228" s="8" t="s">
        <v>14</v>
      </c>
      <c r="B228" s="8" t="s">
        <v>28</v>
      </c>
      <c r="C228" s="10" t="s">
        <v>14</v>
      </c>
      <c r="D228" s="8" t="s">
        <v>24</v>
      </c>
      <c r="E228" s="7" t="str">
        <f t="shared" si="32"/>
        <v>01080106</v>
      </c>
      <c r="F228" s="1" t="s">
        <v>1219</v>
      </c>
      <c r="G228" s="1" t="str">
        <f t="shared" si="35"/>
        <v>抽屉08台阶钻422</v>
      </c>
      <c r="H228" t="str">
        <f t="shared" si="33"/>
        <v>行号01</v>
      </c>
      <c r="I228" s="1" t="str">
        <f t="shared" si="34"/>
        <v>序号06</v>
      </c>
      <c r="J228" s="38"/>
      <c r="K228" s="41"/>
      <c r="L228" s="41"/>
      <c r="M228" s="42">
        <v>0</v>
      </c>
      <c r="N228" s="41">
        <v>0</v>
      </c>
    </row>
    <row r="229" spans="1:16">
      <c r="A229" s="8" t="s">
        <v>14</v>
      </c>
      <c r="B229" s="8" t="s">
        <v>28</v>
      </c>
      <c r="C229" s="10" t="s">
        <v>14</v>
      </c>
      <c r="D229" s="8" t="s">
        <v>26</v>
      </c>
      <c r="E229" s="7" t="str">
        <f t="shared" si="32"/>
        <v>01080107</v>
      </c>
      <c r="F229" s="1" t="s">
        <v>1219</v>
      </c>
      <c r="G229" s="1" t="str">
        <f t="shared" si="35"/>
        <v>抽屉08台阶钻422</v>
      </c>
      <c r="H229" t="str">
        <f t="shared" si="33"/>
        <v>行号01</v>
      </c>
      <c r="I229" s="1" t="str">
        <f t="shared" si="34"/>
        <v>序号07</v>
      </c>
      <c r="J229" s="24"/>
      <c r="K229" s="41"/>
      <c r="L229" s="41"/>
      <c r="M229" s="42">
        <v>0</v>
      </c>
      <c r="N229" s="41">
        <v>0</v>
      </c>
    </row>
    <row r="230" spans="1:16">
      <c r="A230" s="8" t="s">
        <v>14</v>
      </c>
      <c r="B230" s="8" t="s">
        <v>28</v>
      </c>
      <c r="C230" s="10" t="s">
        <v>14</v>
      </c>
      <c r="D230" s="8" t="s">
        <v>28</v>
      </c>
      <c r="E230" s="7" t="str">
        <f t="shared" si="32"/>
        <v>01080108</v>
      </c>
      <c r="F230" s="1" t="s">
        <v>1219</v>
      </c>
      <c r="G230" s="1" t="str">
        <f t="shared" si="35"/>
        <v>抽屉08台阶钻422</v>
      </c>
      <c r="H230" t="str">
        <f t="shared" si="33"/>
        <v>行号01</v>
      </c>
      <c r="I230" s="1" t="str">
        <f t="shared" si="34"/>
        <v>序号08</v>
      </c>
      <c r="J230" s="24"/>
      <c r="K230" s="41"/>
      <c r="L230" s="41"/>
      <c r="M230" s="42">
        <v>0</v>
      </c>
      <c r="N230" s="41">
        <v>0</v>
      </c>
    </row>
    <row r="231" spans="1:16">
      <c r="A231" s="8" t="s">
        <v>14</v>
      </c>
      <c r="B231" s="8" t="s">
        <v>28</v>
      </c>
      <c r="C231" s="8" t="s">
        <v>16</v>
      </c>
      <c r="D231" s="11" t="s">
        <v>14</v>
      </c>
      <c r="E231" s="7" t="str">
        <f t="shared" si="32"/>
        <v>01080201</v>
      </c>
      <c r="F231" s="1" t="s">
        <v>1219</v>
      </c>
      <c r="G231" s="1" t="str">
        <f t="shared" si="35"/>
        <v>抽屉08台阶钻422</v>
      </c>
      <c r="H231" t="str">
        <f t="shared" si="33"/>
        <v>行号02</v>
      </c>
      <c r="I231" s="1" t="str">
        <f t="shared" si="34"/>
        <v>序号01</v>
      </c>
      <c r="J231" s="36" t="s">
        <v>565</v>
      </c>
      <c r="K231" s="39">
        <v>0</v>
      </c>
      <c r="L231" s="39"/>
      <c r="M231" s="48"/>
      <c r="N231" s="48"/>
      <c r="O231" s="32" t="s">
        <v>1233</v>
      </c>
      <c r="P231" s="34">
        <v>291323</v>
      </c>
    </row>
    <row r="232" spans="1:16">
      <c r="A232" s="8" t="s">
        <v>14</v>
      </c>
      <c r="B232" s="8" t="s">
        <v>28</v>
      </c>
      <c r="C232" s="8" t="s">
        <v>16</v>
      </c>
      <c r="D232" s="11" t="s">
        <v>16</v>
      </c>
      <c r="E232" s="7" t="str">
        <f t="shared" si="32"/>
        <v>01080202</v>
      </c>
      <c r="F232" s="1" t="s">
        <v>1219</v>
      </c>
      <c r="G232" s="1" t="str">
        <f t="shared" si="35"/>
        <v>抽屉08台阶钻422</v>
      </c>
      <c r="H232" t="str">
        <f t="shared" si="33"/>
        <v>行号02</v>
      </c>
      <c r="I232" s="1" t="str">
        <f t="shared" si="34"/>
        <v>序号02</v>
      </c>
      <c r="J232" s="36" t="s">
        <v>566</v>
      </c>
      <c r="K232" s="39">
        <v>0</v>
      </c>
      <c r="L232" s="39"/>
      <c r="M232" s="33"/>
      <c r="N232" s="39"/>
      <c r="O232" s="57" t="s">
        <v>1241</v>
      </c>
    </row>
    <row r="233" spans="1:16">
      <c r="A233" s="8" t="s">
        <v>14</v>
      </c>
      <c r="B233" s="8" t="s">
        <v>28</v>
      </c>
      <c r="C233" s="8" t="s">
        <v>16</v>
      </c>
      <c r="D233" s="11" t="s">
        <v>18</v>
      </c>
      <c r="E233" s="7" t="str">
        <f t="shared" si="32"/>
        <v>01080203</v>
      </c>
      <c r="F233" s="1" t="s">
        <v>1219</v>
      </c>
      <c r="G233" s="1" t="str">
        <f t="shared" si="35"/>
        <v>抽屉08台阶钻422</v>
      </c>
      <c r="H233" t="str">
        <f t="shared" si="33"/>
        <v>行号02</v>
      </c>
      <c r="I233" s="1" t="str">
        <f t="shared" si="34"/>
        <v>序号03</v>
      </c>
      <c r="J233" s="38"/>
      <c r="K233" s="41"/>
      <c r="L233" s="41"/>
      <c r="M233" s="42">
        <v>0</v>
      </c>
      <c r="N233" s="41">
        <v>0</v>
      </c>
    </row>
    <row r="234" spans="1:16">
      <c r="A234" s="8" t="s">
        <v>14</v>
      </c>
      <c r="B234" s="8" t="s">
        <v>28</v>
      </c>
      <c r="C234" s="8" t="s">
        <v>16</v>
      </c>
      <c r="D234" s="11" t="s">
        <v>20</v>
      </c>
      <c r="E234" s="7" t="str">
        <f t="shared" si="32"/>
        <v>01080204</v>
      </c>
      <c r="F234" s="1" t="s">
        <v>1219</v>
      </c>
      <c r="G234" s="1" t="str">
        <f t="shared" si="35"/>
        <v>抽屉08台阶钻422</v>
      </c>
      <c r="H234" t="str">
        <f t="shared" si="33"/>
        <v>行号02</v>
      </c>
      <c r="I234" s="1" t="str">
        <f t="shared" si="34"/>
        <v>序号04</v>
      </c>
      <c r="J234" s="38"/>
      <c r="K234" s="41"/>
      <c r="L234" s="41"/>
      <c r="M234" s="42">
        <v>0</v>
      </c>
      <c r="N234" s="41">
        <v>0</v>
      </c>
    </row>
    <row r="235" spans="1:16">
      <c r="A235" s="8" t="s">
        <v>14</v>
      </c>
      <c r="B235" s="8" t="s">
        <v>28</v>
      </c>
      <c r="C235" s="8" t="s">
        <v>16</v>
      </c>
      <c r="D235" s="11" t="s">
        <v>22</v>
      </c>
      <c r="E235" s="7" t="str">
        <f t="shared" si="32"/>
        <v>01080205</v>
      </c>
      <c r="F235" s="1" t="s">
        <v>1219</v>
      </c>
      <c r="G235" s="1" t="str">
        <f t="shared" si="35"/>
        <v>抽屉08台阶钻422</v>
      </c>
      <c r="H235" t="str">
        <f t="shared" si="33"/>
        <v>行号02</v>
      </c>
      <c r="I235" s="1" t="str">
        <f t="shared" si="34"/>
        <v>序号05</v>
      </c>
      <c r="J235" s="38"/>
      <c r="K235" s="41"/>
      <c r="L235" s="41"/>
      <c r="M235" s="42">
        <v>0</v>
      </c>
      <c r="N235" s="41">
        <v>0</v>
      </c>
    </row>
    <row r="236" spans="1:16">
      <c r="A236" s="8" t="s">
        <v>14</v>
      </c>
      <c r="B236" s="8" t="s">
        <v>28</v>
      </c>
      <c r="C236" s="8" t="s">
        <v>16</v>
      </c>
      <c r="D236" s="11" t="s">
        <v>24</v>
      </c>
      <c r="E236" s="7" t="str">
        <f t="shared" si="32"/>
        <v>01080206</v>
      </c>
      <c r="F236" s="1" t="s">
        <v>1219</v>
      </c>
      <c r="G236" s="1" t="str">
        <f t="shared" si="35"/>
        <v>抽屉08台阶钻422</v>
      </c>
      <c r="H236" t="str">
        <f t="shared" si="33"/>
        <v>行号02</v>
      </c>
      <c r="I236" s="1" t="str">
        <f t="shared" si="34"/>
        <v>序号06</v>
      </c>
      <c r="J236" s="24"/>
      <c r="K236" s="41"/>
      <c r="L236" s="41"/>
      <c r="M236" s="42">
        <v>0</v>
      </c>
      <c r="N236" s="41">
        <v>0</v>
      </c>
    </row>
    <row r="237" spans="1:16">
      <c r="A237" s="8" t="s">
        <v>14</v>
      </c>
      <c r="B237" s="8" t="s">
        <v>28</v>
      </c>
      <c r="C237" s="8" t="s">
        <v>16</v>
      </c>
      <c r="D237" s="11" t="s">
        <v>26</v>
      </c>
      <c r="E237" s="7" t="str">
        <f t="shared" si="32"/>
        <v>01080207</v>
      </c>
      <c r="F237" s="1" t="s">
        <v>1219</v>
      </c>
      <c r="G237" s="1" t="str">
        <f t="shared" si="35"/>
        <v>抽屉08台阶钻422</v>
      </c>
      <c r="H237" t="str">
        <f t="shared" si="33"/>
        <v>行号02</v>
      </c>
      <c r="I237" s="1" t="str">
        <f t="shared" si="34"/>
        <v>序号07</v>
      </c>
      <c r="J237" s="24"/>
      <c r="K237" s="41"/>
      <c r="L237" s="41"/>
      <c r="M237" s="42">
        <v>0</v>
      </c>
      <c r="N237" s="41">
        <v>0</v>
      </c>
    </row>
    <row r="238" spans="1:16">
      <c r="A238" s="8" t="s">
        <v>14</v>
      </c>
      <c r="B238" s="8" t="s">
        <v>28</v>
      </c>
      <c r="C238" s="8" t="s">
        <v>16</v>
      </c>
      <c r="D238" s="11" t="s">
        <v>28</v>
      </c>
      <c r="E238" s="7" t="str">
        <f t="shared" si="32"/>
        <v>01080208</v>
      </c>
      <c r="F238" s="1" t="s">
        <v>1219</v>
      </c>
      <c r="G238" s="1" t="str">
        <f t="shared" si="35"/>
        <v>抽屉08台阶钻422</v>
      </c>
      <c r="H238" t="str">
        <f t="shared" si="33"/>
        <v>行号02</v>
      </c>
      <c r="I238" s="1" t="str">
        <f t="shared" si="34"/>
        <v>序号08</v>
      </c>
      <c r="J238" s="24"/>
      <c r="K238" s="41"/>
      <c r="L238" s="41"/>
      <c r="M238" s="42">
        <v>0</v>
      </c>
      <c r="N238" s="41">
        <v>0</v>
      </c>
    </row>
    <row r="239" spans="1:16">
      <c r="A239" s="8" t="s">
        <v>14</v>
      </c>
      <c r="B239" s="8" t="s">
        <v>28</v>
      </c>
      <c r="C239" s="10" t="s">
        <v>18</v>
      </c>
      <c r="D239" s="8" t="s">
        <v>14</v>
      </c>
      <c r="E239" s="7" t="str">
        <f t="shared" si="32"/>
        <v>01080301</v>
      </c>
      <c r="F239" s="1" t="s">
        <v>1219</v>
      </c>
      <c r="G239" s="1" t="str">
        <f t="shared" si="35"/>
        <v>抽屉08台阶钻422</v>
      </c>
      <c r="H239" t="str">
        <f t="shared" si="33"/>
        <v>行号03</v>
      </c>
      <c r="I239" s="1" t="str">
        <f t="shared" si="34"/>
        <v>序号01</v>
      </c>
      <c r="J239" s="36" t="s">
        <v>567</v>
      </c>
      <c r="K239" s="39">
        <v>0</v>
      </c>
      <c r="L239" s="39"/>
      <c r="M239" s="48"/>
      <c r="N239" s="48"/>
      <c r="O239" s="32" t="s">
        <v>1233</v>
      </c>
      <c r="P239" s="34">
        <v>379441</v>
      </c>
    </row>
    <row r="240" spans="1:16">
      <c r="A240" s="8" t="s">
        <v>14</v>
      </c>
      <c r="B240" s="8" t="s">
        <v>28</v>
      </c>
      <c r="C240" s="10" t="s">
        <v>18</v>
      </c>
      <c r="D240" s="8" t="s">
        <v>16</v>
      </c>
      <c r="E240" s="7" t="str">
        <f t="shared" si="32"/>
        <v>01080302</v>
      </c>
      <c r="F240" s="1" t="s">
        <v>1219</v>
      </c>
      <c r="G240" s="1" t="str">
        <f t="shared" si="35"/>
        <v>抽屉08台阶钻422</v>
      </c>
      <c r="H240" t="str">
        <f t="shared" si="33"/>
        <v>行号03</v>
      </c>
      <c r="I240" s="1" t="str">
        <f t="shared" si="34"/>
        <v>序号02</v>
      </c>
      <c r="J240" s="36" t="s">
        <v>568</v>
      </c>
      <c r="K240" s="39">
        <v>0</v>
      </c>
      <c r="L240" s="39"/>
      <c r="M240" s="48"/>
      <c r="N240" s="48"/>
      <c r="O240" s="32" t="s">
        <v>1233</v>
      </c>
      <c r="P240" s="34">
        <v>981258</v>
      </c>
    </row>
    <row r="241" spans="1:15">
      <c r="A241" s="8" t="s">
        <v>14</v>
      </c>
      <c r="B241" s="8" t="s">
        <v>28</v>
      </c>
      <c r="C241" s="10" t="s">
        <v>18</v>
      </c>
      <c r="D241" s="8" t="s">
        <v>18</v>
      </c>
      <c r="E241" s="7" t="str">
        <f t="shared" si="32"/>
        <v>01080303</v>
      </c>
      <c r="F241" s="1" t="s">
        <v>1219</v>
      </c>
      <c r="G241" s="1" t="str">
        <f t="shared" si="35"/>
        <v>抽屉08台阶钻422</v>
      </c>
      <c r="H241" t="str">
        <f t="shared" si="33"/>
        <v>行号03</v>
      </c>
      <c r="I241" s="1" t="str">
        <f t="shared" si="34"/>
        <v>序号03</v>
      </c>
      <c r="J241" s="24"/>
      <c r="K241" s="41"/>
      <c r="L241" s="41"/>
      <c r="M241" s="42">
        <v>0</v>
      </c>
      <c r="N241" s="41">
        <v>0</v>
      </c>
    </row>
    <row r="242" spans="1:15">
      <c r="A242" s="8" t="s">
        <v>14</v>
      </c>
      <c r="B242" s="8" t="s">
        <v>28</v>
      </c>
      <c r="C242" s="10" t="s">
        <v>18</v>
      </c>
      <c r="D242" s="8" t="s">
        <v>20</v>
      </c>
      <c r="E242" s="7" t="str">
        <f t="shared" si="32"/>
        <v>01080304</v>
      </c>
      <c r="F242" s="1" t="s">
        <v>1219</v>
      </c>
      <c r="G242" s="1" t="str">
        <f t="shared" si="35"/>
        <v>抽屉08台阶钻422</v>
      </c>
      <c r="H242" t="str">
        <f t="shared" si="33"/>
        <v>行号03</v>
      </c>
      <c r="I242" s="1" t="str">
        <f t="shared" si="34"/>
        <v>序号04</v>
      </c>
      <c r="J242" s="24"/>
      <c r="K242" s="41"/>
      <c r="L242" s="41"/>
      <c r="M242" s="42">
        <v>0</v>
      </c>
      <c r="N242" s="41">
        <v>0</v>
      </c>
    </row>
    <row r="243" spans="1:15">
      <c r="A243" s="8" t="s">
        <v>14</v>
      </c>
      <c r="B243" s="8" t="s">
        <v>28</v>
      </c>
      <c r="C243" s="10" t="s">
        <v>18</v>
      </c>
      <c r="D243" s="8" t="s">
        <v>22</v>
      </c>
      <c r="E243" s="7" t="str">
        <f t="shared" si="32"/>
        <v>01080305</v>
      </c>
      <c r="F243" s="1" t="s">
        <v>1219</v>
      </c>
      <c r="G243" s="1" t="str">
        <f t="shared" si="35"/>
        <v>抽屉08台阶钻422</v>
      </c>
      <c r="H243" t="str">
        <f t="shared" si="33"/>
        <v>行号03</v>
      </c>
      <c r="I243" s="1" t="str">
        <f t="shared" si="34"/>
        <v>序号05</v>
      </c>
      <c r="J243" s="24"/>
      <c r="K243" s="41"/>
      <c r="L243" s="41"/>
      <c r="M243" s="42">
        <v>0</v>
      </c>
      <c r="N243" s="41">
        <v>0</v>
      </c>
    </row>
    <row r="244" spans="1:15">
      <c r="A244" s="8" t="s">
        <v>14</v>
      </c>
      <c r="B244" s="8" t="s">
        <v>28</v>
      </c>
      <c r="C244" s="10" t="s">
        <v>18</v>
      </c>
      <c r="D244" s="8" t="s">
        <v>24</v>
      </c>
      <c r="E244" s="7" t="str">
        <f t="shared" si="32"/>
        <v>01080306</v>
      </c>
      <c r="F244" s="1" t="s">
        <v>1219</v>
      </c>
      <c r="G244" s="1" t="str">
        <f t="shared" si="35"/>
        <v>抽屉08台阶钻422</v>
      </c>
      <c r="H244" t="str">
        <f t="shared" si="33"/>
        <v>行号03</v>
      </c>
      <c r="I244" s="1" t="str">
        <f t="shared" si="34"/>
        <v>序号06</v>
      </c>
      <c r="J244" s="24"/>
      <c r="K244" s="41"/>
      <c r="L244" s="41"/>
      <c r="M244" s="42">
        <v>0</v>
      </c>
      <c r="N244" s="41">
        <v>0</v>
      </c>
    </row>
    <row r="245" spans="1:15">
      <c r="A245" s="8" t="s">
        <v>14</v>
      </c>
      <c r="B245" s="8" t="s">
        <v>28</v>
      </c>
      <c r="C245" s="10" t="s">
        <v>18</v>
      </c>
      <c r="D245" s="8" t="s">
        <v>26</v>
      </c>
      <c r="E245" s="7" t="str">
        <f t="shared" si="32"/>
        <v>01080307</v>
      </c>
      <c r="F245" s="1" t="s">
        <v>1219</v>
      </c>
      <c r="G245" s="1" t="str">
        <f t="shared" si="35"/>
        <v>抽屉08台阶钻422</v>
      </c>
      <c r="H245" t="str">
        <f t="shared" si="33"/>
        <v>行号03</v>
      </c>
      <c r="I245" s="1" t="str">
        <f t="shared" si="34"/>
        <v>序号07</v>
      </c>
      <c r="J245" s="24"/>
      <c r="K245" s="41"/>
      <c r="L245" s="41"/>
      <c r="M245" s="42">
        <v>0</v>
      </c>
      <c r="N245" s="41">
        <v>0</v>
      </c>
    </row>
    <row r="246" spans="1:15">
      <c r="A246" s="8" t="s">
        <v>14</v>
      </c>
      <c r="B246" s="8" t="s">
        <v>28</v>
      </c>
      <c r="C246" s="10" t="s">
        <v>18</v>
      </c>
      <c r="D246" s="8" t="s">
        <v>28</v>
      </c>
      <c r="E246" s="7" t="str">
        <f t="shared" si="32"/>
        <v>01080308</v>
      </c>
      <c r="F246" s="1" t="s">
        <v>1219</v>
      </c>
      <c r="G246" s="1" t="str">
        <f t="shared" si="35"/>
        <v>抽屉08台阶钻422</v>
      </c>
      <c r="H246" t="str">
        <f t="shared" si="33"/>
        <v>行号03</v>
      </c>
      <c r="I246" s="1" t="str">
        <f t="shared" si="34"/>
        <v>序号08</v>
      </c>
      <c r="J246" s="24"/>
      <c r="K246" s="41"/>
      <c r="L246" s="41"/>
      <c r="M246" s="42">
        <v>0</v>
      </c>
      <c r="N246" s="41">
        <v>0</v>
      </c>
    </row>
    <row r="247" spans="1:15">
      <c r="A247" s="8" t="s">
        <v>14</v>
      </c>
      <c r="B247" s="8" t="s">
        <v>28</v>
      </c>
      <c r="C247" s="8" t="s">
        <v>20</v>
      </c>
      <c r="D247" s="11" t="s">
        <v>14</v>
      </c>
      <c r="E247" s="7" t="str">
        <f t="shared" si="32"/>
        <v>01080401</v>
      </c>
      <c r="F247" s="1" t="s">
        <v>1219</v>
      </c>
      <c r="G247" s="1" t="str">
        <f t="shared" si="35"/>
        <v>抽屉08台阶钻422</v>
      </c>
      <c r="H247" t="str">
        <f t="shared" si="33"/>
        <v>行号04</v>
      </c>
      <c r="I247" s="1" t="str">
        <f t="shared" si="34"/>
        <v>序号01</v>
      </c>
      <c r="J247" s="38"/>
      <c r="K247" s="41"/>
      <c r="L247" s="41"/>
      <c r="M247" s="42">
        <v>0</v>
      </c>
      <c r="N247" s="41">
        <v>0</v>
      </c>
    </row>
    <row r="248" spans="1:15">
      <c r="A248" s="8" t="s">
        <v>14</v>
      </c>
      <c r="B248" s="8" t="s">
        <v>28</v>
      </c>
      <c r="C248" s="8" t="s">
        <v>20</v>
      </c>
      <c r="D248" s="11" t="s">
        <v>16</v>
      </c>
      <c r="E248" s="7" t="str">
        <f t="shared" si="32"/>
        <v>01080402</v>
      </c>
      <c r="F248" s="1" t="s">
        <v>1219</v>
      </c>
      <c r="G248" s="1" t="str">
        <f t="shared" si="35"/>
        <v>抽屉08台阶钻422</v>
      </c>
      <c r="H248" t="str">
        <f t="shared" si="33"/>
        <v>行号04</v>
      </c>
      <c r="I248" s="1" t="str">
        <f t="shared" si="34"/>
        <v>序号02</v>
      </c>
      <c r="J248" s="38"/>
      <c r="K248" s="41"/>
      <c r="L248" s="41"/>
      <c r="M248" s="42">
        <v>0</v>
      </c>
      <c r="N248" s="41">
        <v>0</v>
      </c>
    </row>
    <row r="249" spans="1:15">
      <c r="A249" s="8" t="s">
        <v>14</v>
      </c>
      <c r="B249" s="8" t="s">
        <v>28</v>
      </c>
      <c r="C249" s="8" t="s">
        <v>20</v>
      </c>
      <c r="D249" s="11" t="s">
        <v>18</v>
      </c>
      <c r="E249" s="7" t="str">
        <f t="shared" si="32"/>
        <v>01080403</v>
      </c>
      <c r="F249" s="1" t="s">
        <v>1219</v>
      </c>
      <c r="G249" s="1" t="str">
        <f t="shared" si="35"/>
        <v>抽屉08台阶钻422</v>
      </c>
      <c r="H249" t="str">
        <f t="shared" si="33"/>
        <v>行号04</v>
      </c>
      <c r="I249" s="1" t="str">
        <f t="shared" si="34"/>
        <v>序号03</v>
      </c>
      <c r="J249" s="24"/>
      <c r="K249" s="41"/>
      <c r="L249" s="41"/>
      <c r="M249" s="42">
        <v>0</v>
      </c>
      <c r="N249" s="41">
        <v>0</v>
      </c>
    </row>
    <row r="250" spans="1:15">
      <c r="A250" s="8" t="s">
        <v>14</v>
      </c>
      <c r="B250" s="8" t="s">
        <v>28</v>
      </c>
      <c r="C250" s="8" t="s">
        <v>20</v>
      </c>
      <c r="D250" s="11" t="s">
        <v>20</v>
      </c>
      <c r="E250" s="7" t="str">
        <f t="shared" si="32"/>
        <v>01080404</v>
      </c>
      <c r="F250" s="1" t="s">
        <v>1219</v>
      </c>
      <c r="G250" s="1" t="str">
        <f t="shared" si="35"/>
        <v>抽屉08台阶钻422</v>
      </c>
      <c r="H250" t="str">
        <f t="shared" si="33"/>
        <v>行号04</v>
      </c>
      <c r="I250" s="1" t="str">
        <f t="shared" si="34"/>
        <v>序号04</v>
      </c>
      <c r="J250" s="24"/>
      <c r="K250" s="41"/>
      <c r="L250" s="41"/>
      <c r="M250" s="42">
        <v>0</v>
      </c>
      <c r="N250" s="41">
        <v>0</v>
      </c>
    </row>
    <row r="251" spans="1:15">
      <c r="A251" s="8" t="s">
        <v>14</v>
      </c>
      <c r="B251" s="8" t="s">
        <v>28</v>
      </c>
      <c r="C251" s="8" t="s">
        <v>20</v>
      </c>
      <c r="D251" s="11" t="s">
        <v>22</v>
      </c>
      <c r="E251" s="7" t="str">
        <f t="shared" si="32"/>
        <v>01080405</v>
      </c>
      <c r="F251" s="1" t="s">
        <v>1219</v>
      </c>
      <c r="G251" s="1" t="str">
        <f t="shared" si="35"/>
        <v>抽屉08台阶钻422</v>
      </c>
      <c r="H251" t="str">
        <f t="shared" si="33"/>
        <v>行号04</v>
      </c>
      <c r="I251" s="1" t="str">
        <f t="shared" si="34"/>
        <v>序号05</v>
      </c>
      <c r="J251" s="24"/>
      <c r="K251" s="41"/>
      <c r="L251" s="41"/>
      <c r="M251" s="42">
        <v>0</v>
      </c>
      <c r="N251" s="41">
        <v>0</v>
      </c>
    </row>
    <row r="252" spans="1:15">
      <c r="A252" s="8" t="s">
        <v>14</v>
      </c>
      <c r="B252" s="8" t="s">
        <v>28</v>
      </c>
      <c r="C252" s="8" t="s">
        <v>20</v>
      </c>
      <c r="D252" s="11" t="s">
        <v>24</v>
      </c>
      <c r="E252" s="7" t="str">
        <f t="shared" si="32"/>
        <v>01080406</v>
      </c>
      <c r="F252" s="1" t="s">
        <v>1219</v>
      </c>
      <c r="G252" s="1" t="str">
        <f t="shared" si="35"/>
        <v>抽屉08台阶钻422</v>
      </c>
      <c r="H252" t="str">
        <f t="shared" si="33"/>
        <v>行号04</v>
      </c>
      <c r="I252" s="1" t="str">
        <f t="shared" si="34"/>
        <v>序号06</v>
      </c>
      <c r="J252" s="24"/>
      <c r="K252" s="41"/>
      <c r="L252" s="41"/>
      <c r="M252" s="42">
        <v>0</v>
      </c>
      <c r="N252" s="41">
        <v>0</v>
      </c>
    </row>
    <row r="253" spans="1:15">
      <c r="A253" s="8" t="s">
        <v>14</v>
      </c>
      <c r="B253" s="8" t="s">
        <v>28</v>
      </c>
      <c r="C253" s="8" t="s">
        <v>20</v>
      </c>
      <c r="D253" s="11" t="s">
        <v>26</v>
      </c>
      <c r="E253" s="7" t="str">
        <f t="shared" si="32"/>
        <v>01080407</v>
      </c>
      <c r="F253" s="1" t="s">
        <v>1219</v>
      </c>
      <c r="G253" s="1" t="str">
        <f t="shared" si="35"/>
        <v>抽屉08台阶钻422</v>
      </c>
      <c r="H253" t="str">
        <f t="shared" si="33"/>
        <v>行号04</v>
      </c>
      <c r="I253" s="1" t="str">
        <f t="shared" si="34"/>
        <v>序号07</v>
      </c>
      <c r="J253" s="24"/>
      <c r="K253" s="41"/>
      <c r="L253" s="41"/>
      <c r="M253" s="42">
        <v>0</v>
      </c>
      <c r="N253" s="41">
        <v>0</v>
      </c>
    </row>
    <row r="254" spans="1:15">
      <c r="A254" s="8" t="s">
        <v>14</v>
      </c>
      <c r="B254" s="8" t="s">
        <v>28</v>
      </c>
      <c r="C254" s="8" t="s">
        <v>20</v>
      </c>
      <c r="D254" s="11" t="s">
        <v>28</v>
      </c>
      <c r="E254" s="7" t="str">
        <f t="shared" si="32"/>
        <v>01080408</v>
      </c>
      <c r="F254" s="1" t="s">
        <v>1219</v>
      </c>
      <c r="G254" s="1" t="str">
        <f t="shared" si="35"/>
        <v>抽屉08台阶钻422</v>
      </c>
      <c r="H254" t="str">
        <f t="shared" si="33"/>
        <v>行号04</v>
      </c>
      <c r="I254" s="1" t="str">
        <f t="shared" si="34"/>
        <v>序号08</v>
      </c>
      <c r="J254" s="24"/>
      <c r="K254" s="41"/>
      <c r="L254" s="41"/>
      <c r="M254" s="42">
        <v>0</v>
      </c>
      <c r="N254" s="41">
        <v>0</v>
      </c>
    </row>
    <row r="255" spans="1:15">
      <c r="A255" s="8" t="s">
        <v>14</v>
      </c>
      <c r="B255" s="8" t="s">
        <v>333</v>
      </c>
      <c r="C255" s="10" t="s">
        <v>14</v>
      </c>
      <c r="D255" s="8" t="s">
        <v>14</v>
      </c>
      <c r="E255" s="7" t="str">
        <f t="shared" si="32"/>
        <v>01090101</v>
      </c>
      <c r="F255" s="1" t="s">
        <v>1219</v>
      </c>
      <c r="G255" s="1" t="str">
        <f>"抽屉"&amp;B255&amp;"特殊角度钻头"</f>
        <v>抽屉09特殊角度钻头</v>
      </c>
      <c r="H255" t="str">
        <f t="shared" si="33"/>
        <v>行号01</v>
      </c>
      <c r="I255" s="1" t="str">
        <f t="shared" si="34"/>
        <v>序号01</v>
      </c>
      <c r="J255" t="s">
        <v>569</v>
      </c>
      <c r="K255" s="39">
        <v>0</v>
      </c>
      <c r="L255" s="39">
        <v>5</v>
      </c>
      <c r="M255" s="33"/>
      <c r="N255" s="39"/>
      <c r="O255" s="32" t="s">
        <v>1234</v>
      </c>
    </row>
    <row r="256" spans="1:15">
      <c r="A256" s="8" t="s">
        <v>14</v>
      </c>
      <c r="B256" s="8" t="s">
        <v>333</v>
      </c>
      <c r="C256" s="10" t="s">
        <v>14</v>
      </c>
      <c r="D256" s="8" t="s">
        <v>16</v>
      </c>
      <c r="E256" s="7" t="str">
        <f t="shared" si="32"/>
        <v>01090102</v>
      </c>
      <c r="F256" s="1" t="s">
        <v>1219</v>
      </c>
      <c r="G256" s="1" t="str">
        <f t="shared" ref="G256:G282" si="36">"抽屉"&amp;B256&amp;"特殊角度钻头"</f>
        <v>抽屉09特殊角度钻头</v>
      </c>
      <c r="H256" t="str">
        <f t="shared" si="33"/>
        <v>行号01</v>
      </c>
      <c r="I256" s="1" t="str">
        <f t="shared" si="34"/>
        <v>序号02</v>
      </c>
      <c r="J256" t="s">
        <v>570</v>
      </c>
      <c r="K256" s="39">
        <v>0</v>
      </c>
      <c r="L256" s="39">
        <v>5</v>
      </c>
      <c r="M256" s="48"/>
      <c r="N256" s="48"/>
      <c r="O256" s="32" t="s">
        <v>1234</v>
      </c>
    </row>
    <row r="257" spans="1:16">
      <c r="A257" s="8" t="s">
        <v>14</v>
      </c>
      <c r="B257" s="8" t="s">
        <v>333</v>
      </c>
      <c r="C257" s="10" t="s">
        <v>14</v>
      </c>
      <c r="D257" s="8" t="s">
        <v>18</v>
      </c>
      <c r="E257" s="7" t="str">
        <f t="shared" si="32"/>
        <v>01090103</v>
      </c>
      <c r="F257" s="1" t="s">
        <v>1219</v>
      </c>
      <c r="G257" s="1" t="str">
        <f t="shared" si="36"/>
        <v>抽屉09特殊角度钻头</v>
      </c>
      <c r="H257" t="str">
        <f t="shared" si="33"/>
        <v>行号01</v>
      </c>
      <c r="I257" s="1" t="str">
        <f t="shared" si="34"/>
        <v>序号03</v>
      </c>
      <c r="J257" t="s">
        <v>571</v>
      </c>
      <c r="K257" s="39">
        <v>0</v>
      </c>
      <c r="L257" s="39">
        <v>5</v>
      </c>
      <c r="M257" s="48"/>
      <c r="N257" s="48"/>
      <c r="O257" s="32" t="s">
        <v>1234</v>
      </c>
    </row>
    <row r="258" spans="1:16">
      <c r="A258" s="8" t="s">
        <v>14</v>
      </c>
      <c r="B258" s="8" t="s">
        <v>333</v>
      </c>
      <c r="C258" s="10" t="s">
        <v>14</v>
      </c>
      <c r="D258" s="8" t="s">
        <v>20</v>
      </c>
      <c r="E258" s="7" t="str">
        <f t="shared" si="32"/>
        <v>01090104</v>
      </c>
      <c r="F258" s="1" t="s">
        <v>1219</v>
      </c>
      <c r="G258" s="1" t="str">
        <f t="shared" si="36"/>
        <v>抽屉09特殊角度钻头</v>
      </c>
      <c r="H258" t="str">
        <f t="shared" si="33"/>
        <v>行号01</v>
      </c>
      <c r="I258" s="1" t="str">
        <f t="shared" si="34"/>
        <v>序号04</v>
      </c>
      <c r="J258" t="s">
        <v>572</v>
      </c>
      <c r="K258" s="39">
        <v>0</v>
      </c>
      <c r="L258" s="39">
        <v>5</v>
      </c>
      <c r="M258" s="48"/>
      <c r="N258" s="48"/>
      <c r="O258" s="32" t="s">
        <v>1234</v>
      </c>
    </row>
    <row r="259" spans="1:16">
      <c r="A259" s="8" t="s">
        <v>14</v>
      </c>
      <c r="B259" s="8" t="s">
        <v>333</v>
      </c>
      <c r="C259" s="10" t="s">
        <v>14</v>
      </c>
      <c r="D259" s="8" t="s">
        <v>22</v>
      </c>
      <c r="E259" s="7" t="str">
        <f t="shared" si="32"/>
        <v>01090105</v>
      </c>
      <c r="F259" s="1" t="s">
        <v>1219</v>
      </c>
      <c r="G259" s="1" t="str">
        <f t="shared" si="36"/>
        <v>抽屉09特殊角度钻头</v>
      </c>
      <c r="H259" t="str">
        <f t="shared" si="33"/>
        <v>行号01</v>
      </c>
      <c r="I259" s="1" t="str">
        <f t="shared" si="34"/>
        <v>序号05</v>
      </c>
      <c r="J259" t="s">
        <v>573</v>
      </c>
      <c r="K259" s="39">
        <v>0</v>
      </c>
      <c r="L259" s="39">
        <v>5</v>
      </c>
      <c r="M259" s="33"/>
      <c r="N259" s="39"/>
      <c r="O259" s="32" t="s">
        <v>1234</v>
      </c>
    </row>
    <row r="260" spans="1:16">
      <c r="A260" s="8" t="s">
        <v>14</v>
      </c>
      <c r="B260" s="8" t="s">
        <v>333</v>
      </c>
      <c r="C260" s="10" t="s">
        <v>14</v>
      </c>
      <c r="D260" s="8" t="s">
        <v>24</v>
      </c>
      <c r="E260" s="7" t="str">
        <f t="shared" si="32"/>
        <v>01090106</v>
      </c>
      <c r="F260" s="1" t="s">
        <v>1219</v>
      </c>
      <c r="G260" s="1" t="str">
        <f t="shared" si="36"/>
        <v>抽屉09特殊角度钻头</v>
      </c>
      <c r="H260" t="str">
        <f t="shared" si="33"/>
        <v>行号01</v>
      </c>
      <c r="I260" s="1" t="str">
        <f t="shared" si="34"/>
        <v>序号06</v>
      </c>
      <c r="J260" s="24"/>
      <c r="K260" s="41"/>
      <c r="L260" s="41"/>
      <c r="M260" s="42">
        <v>0</v>
      </c>
      <c r="N260" s="41">
        <v>0</v>
      </c>
    </row>
    <row r="261" spans="1:16">
      <c r="A261" s="8" t="s">
        <v>14</v>
      </c>
      <c r="B261" s="8" t="s">
        <v>333</v>
      </c>
      <c r="C261" s="10" t="s">
        <v>14</v>
      </c>
      <c r="D261" s="8" t="s">
        <v>26</v>
      </c>
      <c r="E261" s="7" t="str">
        <f t="shared" si="32"/>
        <v>01090107</v>
      </c>
      <c r="F261" s="1" t="s">
        <v>1219</v>
      </c>
      <c r="G261" s="1" t="str">
        <f t="shared" si="36"/>
        <v>抽屉09特殊角度钻头</v>
      </c>
      <c r="H261" t="str">
        <f t="shared" si="33"/>
        <v>行号01</v>
      </c>
      <c r="I261" s="1" t="str">
        <f t="shared" si="34"/>
        <v>序号07</v>
      </c>
      <c r="J261" s="24"/>
      <c r="K261" s="41"/>
      <c r="L261" s="41"/>
      <c r="M261" s="42">
        <v>0</v>
      </c>
      <c r="N261" s="41">
        <v>0</v>
      </c>
    </row>
    <row r="262" spans="1:16">
      <c r="A262" s="8" t="s">
        <v>14</v>
      </c>
      <c r="B262" s="8" t="s">
        <v>333</v>
      </c>
      <c r="C262" s="10" t="s">
        <v>14</v>
      </c>
      <c r="D262" s="8" t="s">
        <v>28</v>
      </c>
      <c r="E262" s="7" t="str">
        <f t="shared" si="32"/>
        <v>01090108</v>
      </c>
      <c r="F262" s="1" t="s">
        <v>1219</v>
      </c>
      <c r="G262" s="1" t="str">
        <f t="shared" si="36"/>
        <v>抽屉09特殊角度钻头</v>
      </c>
      <c r="H262" t="str">
        <f t="shared" si="33"/>
        <v>行号01</v>
      </c>
      <c r="I262" s="1" t="str">
        <f t="shared" si="34"/>
        <v>序号08</v>
      </c>
      <c r="J262" s="24"/>
      <c r="K262" s="41"/>
      <c r="L262" s="41"/>
      <c r="M262" s="42">
        <v>0</v>
      </c>
      <c r="N262" s="41">
        <v>0</v>
      </c>
    </row>
    <row r="263" spans="1:16">
      <c r="A263" s="8" t="s">
        <v>14</v>
      </c>
      <c r="B263" s="8" t="s">
        <v>333</v>
      </c>
      <c r="C263" s="8" t="s">
        <v>16</v>
      </c>
      <c r="D263" s="11" t="s">
        <v>14</v>
      </c>
      <c r="E263" s="7" t="str">
        <f t="shared" ref="E263:E330" si="37">A263&amp;B263&amp;C263&amp;D263</f>
        <v>01090201</v>
      </c>
      <c r="F263" s="1" t="s">
        <v>1219</v>
      </c>
      <c r="G263" s="1" t="str">
        <f t="shared" si="36"/>
        <v>抽屉09特殊角度钻头</v>
      </c>
      <c r="H263" t="str">
        <f t="shared" ref="H263:H330" si="38">"行号"&amp;C263</f>
        <v>行号02</v>
      </c>
      <c r="I263" s="1" t="str">
        <f t="shared" ref="I263:I330" si="39">"序号"&amp;D263</f>
        <v>序号01</v>
      </c>
      <c r="J263" s="36" t="s">
        <v>574</v>
      </c>
      <c r="K263" s="39">
        <v>0</v>
      </c>
      <c r="L263" s="39">
        <v>5</v>
      </c>
      <c r="M263" s="48"/>
      <c r="N263" s="48"/>
      <c r="O263" s="32" t="s">
        <v>1234</v>
      </c>
      <c r="P263" s="34">
        <v>970691</v>
      </c>
    </row>
    <row r="264" spans="1:16">
      <c r="A264" s="8" t="s">
        <v>14</v>
      </c>
      <c r="B264" s="8" t="s">
        <v>333</v>
      </c>
      <c r="C264" s="8" t="s">
        <v>16</v>
      </c>
      <c r="D264" s="11" t="s">
        <v>16</v>
      </c>
      <c r="E264" s="7" t="str">
        <f t="shared" si="37"/>
        <v>01090202</v>
      </c>
      <c r="F264" s="1" t="s">
        <v>1219</v>
      </c>
      <c r="G264" s="1" t="str">
        <f t="shared" si="36"/>
        <v>抽屉09特殊角度钻头</v>
      </c>
      <c r="H264" t="str">
        <f t="shared" si="38"/>
        <v>行号02</v>
      </c>
      <c r="I264" s="1" t="str">
        <f t="shared" si="39"/>
        <v>序号02</v>
      </c>
      <c r="J264" s="36" t="s">
        <v>575</v>
      </c>
      <c r="K264" s="39">
        <v>0</v>
      </c>
      <c r="L264" s="39">
        <v>5</v>
      </c>
      <c r="M264" s="33"/>
      <c r="N264" s="39"/>
      <c r="O264" s="32" t="s">
        <v>1234</v>
      </c>
    </row>
    <row r="265" spans="1:16">
      <c r="A265" s="8" t="s">
        <v>14</v>
      </c>
      <c r="B265" s="8" t="s">
        <v>333</v>
      </c>
      <c r="C265" s="8" t="s">
        <v>16</v>
      </c>
      <c r="D265" s="11" t="s">
        <v>18</v>
      </c>
      <c r="E265" s="7" t="str">
        <f t="shared" si="37"/>
        <v>01090203</v>
      </c>
      <c r="F265" s="1" t="s">
        <v>1219</v>
      </c>
      <c r="G265" s="1" t="str">
        <f t="shared" si="36"/>
        <v>抽屉09特殊角度钻头</v>
      </c>
      <c r="H265" t="str">
        <f t="shared" si="38"/>
        <v>行号02</v>
      </c>
      <c r="I265" s="1" t="str">
        <f t="shared" si="39"/>
        <v>序号03</v>
      </c>
      <c r="J265" s="36" t="s">
        <v>576</v>
      </c>
      <c r="K265" s="39">
        <v>0</v>
      </c>
      <c r="L265" s="39">
        <v>5</v>
      </c>
      <c r="M265" s="33"/>
      <c r="N265" s="39"/>
      <c r="O265" s="32" t="s">
        <v>1234</v>
      </c>
    </row>
    <row r="266" spans="1:16">
      <c r="A266" s="8" t="s">
        <v>14</v>
      </c>
      <c r="B266" s="8" t="s">
        <v>333</v>
      </c>
      <c r="C266" s="8" t="s">
        <v>16</v>
      </c>
      <c r="D266" s="11" t="s">
        <v>20</v>
      </c>
      <c r="E266" s="7" t="str">
        <f t="shared" si="37"/>
        <v>01090204</v>
      </c>
      <c r="F266" s="1" t="s">
        <v>1219</v>
      </c>
      <c r="G266" s="1" t="str">
        <f t="shared" si="36"/>
        <v>抽屉09特殊角度钻头</v>
      </c>
      <c r="H266" t="str">
        <f t="shared" si="38"/>
        <v>行号02</v>
      </c>
      <c r="I266" s="1" t="str">
        <f t="shared" si="39"/>
        <v>序号04</v>
      </c>
      <c r="J266" s="36" t="s">
        <v>577</v>
      </c>
      <c r="K266" s="39">
        <v>0</v>
      </c>
      <c r="L266" s="39">
        <v>5</v>
      </c>
      <c r="M266" s="33"/>
      <c r="N266" s="39"/>
      <c r="O266" s="32" t="s">
        <v>1234</v>
      </c>
    </row>
    <row r="267" spans="1:16">
      <c r="A267" s="8" t="s">
        <v>14</v>
      </c>
      <c r="B267" s="8" t="s">
        <v>333</v>
      </c>
      <c r="C267" s="8" t="s">
        <v>16</v>
      </c>
      <c r="D267" s="11" t="s">
        <v>22</v>
      </c>
      <c r="E267" s="7" t="str">
        <f t="shared" si="37"/>
        <v>01090205</v>
      </c>
      <c r="F267" s="1" t="s">
        <v>1219</v>
      </c>
      <c r="G267" s="1" t="str">
        <f t="shared" si="36"/>
        <v>抽屉09特殊角度钻头</v>
      </c>
      <c r="H267" t="str">
        <f t="shared" si="38"/>
        <v>行号02</v>
      </c>
      <c r="I267" s="1" t="str">
        <f t="shared" si="39"/>
        <v>序号05</v>
      </c>
      <c r="J267" s="36" t="s">
        <v>578</v>
      </c>
      <c r="K267" s="39">
        <v>0</v>
      </c>
      <c r="L267" s="39">
        <v>5</v>
      </c>
      <c r="M267" s="33"/>
      <c r="N267" s="39"/>
      <c r="O267" s="32" t="s">
        <v>1234</v>
      </c>
    </row>
    <row r="268" spans="1:16">
      <c r="A268" s="8" t="s">
        <v>14</v>
      </c>
      <c r="B268" s="8" t="s">
        <v>333</v>
      </c>
      <c r="C268" s="8" t="s">
        <v>16</v>
      </c>
      <c r="D268" s="11" t="s">
        <v>24</v>
      </c>
      <c r="E268" s="7" t="str">
        <f t="shared" si="37"/>
        <v>01090206</v>
      </c>
      <c r="F268" s="1" t="s">
        <v>1219</v>
      </c>
      <c r="G268" s="1" t="str">
        <f t="shared" si="36"/>
        <v>抽屉09特殊角度钻头</v>
      </c>
      <c r="H268" t="str">
        <f t="shared" si="38"/>
        <v>行号02</v>
      </c>
      <c r="I268" s="1" t="str">
        <f t="shared" si="39"/>
        <v>序号06</v>
      </c>
      <c r="J268" t="s">
        <v>579</v>
      </c>
      <c r="K268" s="39">
        <v>0</v>
      </c>
      <c r="L268" s="39">
        <v>5</v>
      </c>
      <c r="M268" s="33"/>
      <c r="N268" s="39"/>
      <c r="O268" s="32" t="s">
        <v>1234</v>
      </c>
    </row>
    <row r="269" spans="1:16">
      <c r="A269" s="8" t="s">
        <v>14</v>
      </c>
      <c r="B269" s="8" t="s">
        <v>333</v>
      </c>
      <c r="C269" s="8" t="s">
        <v>16</v>
      </c>
      <c r="D269" s="11" t="s">
        <v>26</v>
      </c>
      <c r="E269" s="7" t="str">
        <f t="shared" si="37"/>
        <v>01090207</v>
      </c>
      <c r="F269" s="1" t="s">
        <v>1219</v>
      </c>
      <c r="G269" s="1" t="str">
        <f t="shared" si="36"/>
        <v>抽屉09特殊角度钻头</v>
      </c>
      <c r="H269" t="str">
        <f t="shared" si="38"/>
        <v>行号02</v>
      </c>
      <c r="I269" s="1" t="str">
        <f t="shared" si="39"/>
        <v>序号07</v>
      </c>
      <c r="J269" s="24"/>
      <c r="K269" s="41"/>
      <c r="L269" s="41"/>
      <c r="M269" s="42">
        <v>0</v>
      </c>
      <c r="N269" s="41">
        <v>0</v>
      </c>
    </row>
    <row r="270" spans="1:16">
      <c r="A270" s="8" t="s">
        <v>14</v>
      </c>
      <c r="B270" s="8" t="s">
        <v>333</v>
      </c>
      <c r="C270" s="8" t="s">
        <v>16</v>
      </c>
      <c r="D270" s="11" t="s">
        <v>28</v>
      </c>
      <c r="E270" s="7" t="str">
        <f t="shared" si="37"/>
        <v>01090208</v>
      </c>
      <c r="F270" s="1" t="s">
        <v>1219</v>
      </c>
      <c r="G270" s="1" t="str">
        <f t="shared" si="36"/>
        <v>抽屉09特殊角度钻头</v>
      </c>
      <c r="H270" t="str">
        <f t="shared" si="38"/>
        <v>行号02</v>
      </c>
      <c r="I270" s="1" t="str">
        <f t="shared" si="39"/>
        <v>序号08</v>
      </c>
      <c r="J270" s="24"/>
      <c r="K270" s="41"/>
      <c r="L270" s="41"/>
      <c r="M270" s="42">
        <v>0</v>
      </c>
      <c r="N270" s="41">
        <v>0</v>
      </c>
    </row>
    <row r="271" spans="1:16">
      <c r="A271" s="8" t="s">
        <v>14</v>
      </c>
      <c r="B271" s="8" t="s">
        <v>333</v>
      </c>
      <c r="C271" s="10" t="s">
        <v>18</v>
      </c>
      <c r="D271" s="8" t="s">
        <v>14</v>
      </c>
      <c r="E271" s="7" t="str">
        <f t="shared" si="37"/>
        <v>01090301</v>
      </c>
      <c r="F271" s="1" t="s">
        <v>1219</v>
      </c>
      <c r="G271" s="1" t="str">
        <f t="shared" si="36"/>
        <v>抽屉09特殊角度钻头</v>
      </c>
      <c r="H271" t="str">
        <f t="shared" si="38"/>
        <v>行号03</v>
      </c>
      <c r="I271" s="1" t="str">
        <f t="shared" si="39"/>
        <v>序号01</v>
      </c>
      <c r="J271" s="36" t="s">
        <v>580</v>
      </c>
      <c r="K271" s="39">
        <v>0</v>
      </c>
      <c r="L271" s="39">
        <v>5</v>
      </c>
      <c r="M271" s="33"/>
      <c r="N271" s="39"/>
      <c r="O271" s="57" t="s">
        <v>1238</v>
      </c>
    </row>
    <row r="272" spans="1:16">
      <c r="A272" s="8" t="s">
        <v>14</v>
      </c>
      <c r="B272" s="8" t="s">
        <v>333</v>
      </c>
      <c r="C272" s="10" t="s">
        <v>18</v>
      </c>
      <c r="D272" s="8" t="s">
        <v>16</v>
      </c>
      <c r="E272" s="7" t="str">
        <f t="shared" si="37"/>
        <v>01090302</v>
      </c>
      <c r="F272" s="1" t="s">
        <v>1219</v>
      </c>
      <c r="G272" s="1" t="str">
        <f t="shared" si="36"/>
        <v>抽屉09特殊角度钻头</v>
      </c>
      <c r="H272" t="str">
        <f t="shared" si="38"/>
        <v>行号03</v>
      </c>
      <c r="I272" s="1" t="str">
        <f t="shared" si="39"/>
        <v>序号02</v>
      </c>
      <c r="J272" s="36" t="s">
        <v>580</v>
      </c>
      <c r="K272" s="39">
        <v>0</v>
      </c>
      <c r="L272" s="39">
        <v>5</v>
      </c>
      <c r="M272" s="33"/>
      <c r="N272" s="39"/>
      <c r="O272" s="57" t="s">
        <v>1238</v>
      </c>
    </row>
    <row r="273" spans="1:15">
      <c r="A273" s="8" t="s">
        <v>14</v>
      </c>
      <c r="B273" s="8" t="s">
        <v>333</v>
      </c>
      <c r="C273" s="10" t="s">
        <v>18</v>
      </c>
      <c r="D273" s="8" t="s">
        <v>18</v>
      </c>
      <c r="E273" s="7" t="str">
        <f t="shared" si="37"/>
        <v>01090303</v>
      </c>
      <c r="F273" s="1" t="s">
        <v>1219</v>
      </c>
      <c r="G273" s="1" t="str">
        <f t="shared" si="36"/>
        <v>抽屉09特殊角度钻头</v>
      </c>
      <c r="H273" t="str">
        <f t="shared" si="38"/>
        <v>行号03</v>
      </c>
      <c r="I273" s="1" t="str">
        <f t="shared" si="39"/>
        <v>序号03</v>
      </c>
      <c r="J273" s="36" t="s">
        <v>581</v>
      </c>
      <c r="K273" s="39">
        <v>0</v>
      </c>
      <c r="L273" s="39">
        <v>5</v>
      </c>
      <c r="M273" s="33"/>
      <c r="N273" s="39"/>
      <c r="O273" s="57" t="s">
        <v>1241</v>
      </c>
    </row>
    <row r="274" spans="1:15">
      <c r="A274" s="8" t="s">
        <v>14</v>
      </c>
      <c r="B274" s="8" t="s">
        <v>333</v>
      </c>
      <c r="C274" s="10" t="s">
        <v>18</v>
      </c>
      <c r="D274" s="8" t="s">
        <v>20</v>
      </c>
      <c r="E274" s="7" t="str">
        <f t="shared" si="37"/>
        <v>01090304</v>
      </c>
      <c r="F274" s="1" t="s">
        <v>1219</v>
      </c>
      <c r="G274" s="1" t="str">
        <f t="shared" si="36"/>
        <v>抽屉09特殊角度钻头</v>
      </c>
      <c r="H274" t="str">
        <f t="shared" si="38"/>
        <v>行号03</v>
      </c>
      <c r="I274" s="1" t="str">
        <f t="shared" si="39"/>
        <v>序号04</v>
      </c>
      <c r="J274" s="36" t="s">
        <v>582</v>
      </c>
      <c r="K274" s="39">
        <v>0</v>
      </c>
      <c r="L274" s="39">
        <v>5</v>
      </c>
      <c r="M274" s="33"/>
      <c r="N274" s="39"/>
      <c r="O274" s="57" t="s">
        <v>1238</v>
      </c>
    </row>
    <row r="275" spans="1:15">
      <c r="A275" s="8" t="s">
        <v>14</v>
      </c>
      <c r="B275" s="8" t="s">
        <v>333</v>
      </c>
      <c r="C275" s="10" t="s">
        <v>18</v>
      </c>
      <c r="D275" s="8" t="s">
        <v>22</v>
      </c>
      <c r="E275" s="7" t="str">
        <f t="shared" si="37"/>
        <v>01090305</v>
      </c>
      <c r="F275" s="1" t="s">
        <v>1219</v>
      </c>
      <c r="G275" s="1" t="str">
        <f t="shared" si="36"/>
        <v>抽屉09特殊角度钻头</v>
      </c>
      <c r="H275" t="str">
        <f t="shared" si="38"/>
        <v>行号03</v>
      </c>
      <c r="I275" s="1" t="str">
        <f t="shared" si="39"/>
        <v>序号05</v>
      </c>
      <c r="J275" s="36" t="s">
        <v>583</v>
      </c>
      <c r="K275" s="39">
        <v>0</v>
      </c>
      <c r="L275" s="39">
        <v>5</v>
      </c>
      <c r="M275" s="33"/>
      <c r="N275" s="39"/>
      <c r="O275" s="57" t="s">
        <v>1238</v>
      </c>
    </row>
    <row r="276" spans="1:15">
      <c r="A276" s="8" t="s">
        <v>14</v>
      </c>
      <c r="B276" s="8" t="s">
        <v>333</v>
      </c>
      <c r="C276" s="10" t="s">
        <v>18</v>
      </c>
      <c r="D276" s="8" t="s">
        <v>24</v>
      </c>
      <c r="E276" s="7" t="str">
        <f t="shared" si="37"/>
        <v>01090306</v>
      </c>
      <c r="F276" s="1" t="s">
        <v>1219</v>
      </c>
      <c r="G276" s="1" t="str">
        <f t="shared" si="36"/>
        <v>抽屉09特殊角度钻头</v>
      </c>
      <c r="H276" t="str">
        <f t="shared" si="38"/>
        <v>行号03</v>
      </c>
      <c r="I276" s="1" t="str">
        <f t="shared" si="39"/>
        <v>序号06</v>
      </c>
      <c r="J276" s="36" t="s">
        <v>583</v>
      </c>
      <c r="K276" s="39">
        <v>0</v>
      </c>
      <c r="L276" s="39">
        <v>5</v>
      </c>
      <c r="M276" s="33"/>
      <c r="N276" s="39"/>
      <c r="O276" s="57" t="s">
        <v>1238</v>
      </c>
    </row>
    <row r="277" spans="1:15">
      <c r="A277" s="8" t="s">
        <v>14</v>
      </c>
      <c r="B277" s="8" t="s">
        <v>333</v>
      </c>
      <c r="C277" s="10" t="s">
        <v>18</v>
      </c>
      <c r="D277" s="8" t="s">
        <v>26</v>
      </c>
      <c r="E277" s="7" t="str">
        <f t="shared" si="37"/>
        <v>01090307</v>
      </c>
      <c r="F277" s="1" t="s">
        <v>1219</v>
      </c>
      <c r="G277" s="1" t="str">
        <f t="shared" si="36"/>
        <v>抽屉09特殊角度钻头</v>
      </c>
      <c r="H277" t="str">
        <f t="shared" si="38"/>
        <v>行号03</v>
      </c>
      <c r="I277" s="1" t="str">
        <f t="shared" si="39"/>
        <v>序号07</v>
      </c>
      <c r="J277" t="s">
        <v>584</v>
      </c>
      <c r="K277" s="39">
        <v>0</v>
      </c>
      <c r="L277" s="39">
        <v>5</v>
      </c>
      <c r="M277" s="33"/>
      <c r="N277" s="39"/>
      <c r="O277" s="57" t="s">
        <v>1238</v>
      </c>
    </row>
    <row r="278" spans="1:15">
      <c r="A278" s="8" t="s">
        <v>14</v>
      </c>
      <c r="B278" s="8" t="s">
        <v>333</v>
      </c>
      <c r="C278" s="10" t="s">
        <v>18</v>
      </c>
      <c r="D278" s="8" t="s">
        <v>28</v>
      </c>
      <c r="E278" s="7" t="str">
        <f t="shared" si="37"/>
        <v>01090308</v>
      </c>
      <c r="F278" s="1" t="s">
        <v>1219</v>
      </c>
      <c r="G278" s="1" t="str">
        <f t="shared" si="36"/>
        <v>抽屉09特殊角度钻头</v>
      </c>
      <c r="H278" t="str">
        <f t="shared" si="38"/>
        <v>行号03</v>
      </c>
      <c r="I278" s="1" t="str">
        <f t="shared" si="39"/>
        <v>序号08</v>
      </c>
      <c r="J278" s="24"/>
      <c r="K278" s="41"/>
      <c r="L278" s="41"/>
      <c r="M278" s="42">
        <v>0</v>
      </c>
      <c r="N278" s="41">
        <v>0</v>
      </c>
    </row>
    <row r="279" spans="1:15">
      <c r="A279" s="8" t="s">
        <v>14</v>
      </c>
      <c r="B279" s="8" t="s">
        <v>333</v>
      </c>
      <c r="C279" s="8" t="s">
        <v>20</v>
      </c>
      <c r="D279" s="11" t="s">
        <v>14</v>
      </c>
      <c r="E279" s="7" t="str">
        <f t="shared" si="37"/>
        <v>01090401</v>
      </c>
      <c r="F279" s="1" t="s">
        <v>1219</v>
      </c>
      <c r="G279" s="1" t="str">
        <f t="shared" si="36"/>
        <v>抽屉09特殊角度钻头</v>
      </c>
      <c r="H279" t="str">
        <f t="shared" si="38"/>
        <v>行号04</v>
      </c>
      <c r="I279" s="1" t="str">
        <f t="shared" si="39"/>
        <v>序号01</v>
      </c>
      <c r="J279" s="38"/>
      <c r="K279" s="41"/>
      <c r="L279" s="41"/>
      <c r="M279" s="42">
        <v>0</v>
      </c>
      <c r="N279" s="41">
        <v>0</v>
      </c>
    </row>
    <row r="280" spans="1:15">
      <c r="A280" s="8" t="s">
        <v>14</v>
      </c>
      <c r="B280" s="8" t="s">
        <v>333</v>
      </c>
      <c r="C280" s="8" t="s">
        <v>20</v>
      </c>
      <c r="D280" s="11" t="s">
        <v>16</v>
      </c>
      <c r="E280" s="7" t="str">
        <f t="shared" si="37"/>
        <v>01090402</v>
      </c>
      <c r="F280" s="1" t="s">
        <v>1219</v>
      </c>
      <c r="G280" s="1" t="str">
        <f t="shared" si="36"/>
        <v>抽屉09特殊角度钻头</v>
      </c>
      <c r="H280" t="str">
        <f t="shared" si="38"/>
        <v>行号04</v>
      </c>
      <c r="I280" s="1" t="str">
        <f t="shared" si="39"/>
        <v>序号02</v>
      </c>
      <c r="J280" s="38"/>
      <c r="K280" s="41"/>
      <c r="L280" s="41"/>
      <c r="M280" s="42">
        <v>0</v>
      </c>
      <c r="N280" s="41">
        <v>0</v>
      </c>
    </row>
    <row r="281" spans="1:15">
      <c r="A281" s="8" t="s">
        <v>14</v>
      </c>
      <c r="B281" s="8" t="s">
        <v>333</v>
      </c>
      <c r="C281" s="8" t="s">
        <v>20</v>
      </c>
      <c r="D281" s="11" t="s">
        <v>18</v>
      </c>
      <c r="E281" s="7" t="str">
        <f t="shared" si="37"/>
        <v>01090403</v>
      </c>
      <c r="F281" s="1" t="s">
        <v>1219</v>
      </c>
      <c r="G281" s="1" t="str">
        <f t="shared" si="36"/>
        <v>抽屉09特殊角度钻头</v>
      </c>
      <c r="H281" t="str">
        <f t="shared" si="38"/>
        <v>行号04</v>
      </c>
      <c r="I281" s="1" t="str">
        <f t="shared" si="39"/>
        <v>序号03</v>
      </c>
      <c r="J281" s="38"/>
      <c r="K281" s="41"/>
      <c r="L281" s="41"/>
      <c r="M281" s="42">
        <v>0</v>
      </c>
      <c r="N281" s="41">
        <v>0</v>
      </c>
    </row>
    <row r="282" spans="1:15">
      <c r="A282" s="8" t="s">
        <v>14</v>
      </c>
      <c r="B282" s="8" t="s">
        <v>333</v>
      </c>
      <c r="C282" s="8" t="s">
        <v>20</v>
      </c>
      <c r="D282" s="11" t="s">
        <v>20</v>
      </c>
      <c r="E282" s="7" t="str">
        <f t="shared" si="37"/>
        <v>01090404</v>
      </c>
      <c r="F282" s="1" t="s">
        <v>1219</v>
      </c>
      <c r="G282" s="1" t="str">
        <f t="shared" si="36"/>
        <v>抽屉09特殊角度钻头</v>
      </c>
      <c r="H282" t="str">
        <f t="shared" si="38"/>
        <v>行号04</v>
      </c>
      <c r="I282" s="1" t="str">
        <f t="shared" si="39"/>
        <v>序号04</v>
      </c>
      <c r="J282" s="36" t="s">
        <v>585</v>
      </c>
      <c r="K282" s="39">
        <v>0</v>
      </c>
      <c r="L282" s="39">
        <v>5</v>
      </c>
      <c r="M282" s="33"/>
      <c r="N282" s="39"/>
      <c r="O282" s="32" t="s">
        <v>1233</v>
      </c>
    </row>
    <row r="283" spans="1:15">
      <c r="A283" s="8" t="s">
        <v>14</v>
      </c>
      <c r="B283" s="8" t="s">
        <v>333</v>
      </c>
      <c r="C283" s="8" t="s">
        <v>20</v>
      </c>
      <c r="D283" s="11" t="s">
        <v>22</v>
      </c>
      <c r="E283" s="7" t="str">
        <f t="shared" ref="E283" si="40">A283&amp;B283&amp;C283&amp;D283</f>
        <v>01090405</v>
      </c>
      <c r="F283" s="1" t="s">
        <v>1219</v>
      </c>
      <c r="G283" s="1" t="str">
        <f t="shared" ref="G283" si="41">"抽屉"&amp;B283&amp;"特殊角度钻头"</f>
        <v>抽屉09特殊角度钻头</v>
      </c>
      <c r="H283" t="str">
        <f t="shared" ref="H283" si="42">"行号"&amp;C283</f>
        <v>行号04</v>
      </c>
      <c r="I283" s="1" t="str">
        <f t="shared" ref="I283" si="43">"序号"&amp;D283</f>
        <v>序号05</v>
      </c>
      <c r="J283" s="45" t="s">
        <v>586</v>
      </c>
      <c r="K283" s="39">
        <v>0</v>
      </c>
      <c r="L283" s="33">
        <v>5</v>
      </c>
      <c r="M283" s="48"/>
      <c r="N283" s="48"/>
      <c r="O283" s="32" t="s">
        <v>1234</v>
      </c>
    </row>
    <row r="284" spans="1:15">
      <c r="A284" s="8" t="s">
        <v>14</v>
      </c>
      <c r="B284" s="8" t="s">
        <v>333</v>
      </c>
      <c r="C284" s="8" t="s">
        <v>20</v>
      </c>
      <c r="D284" s="11" t="s">
        <v>24</v>
      </c>
      <c r="E284" s="7" t="str">
        <f t="shared" ref="E284:E286" si="44">A284&amp;B284&amp;C284&amp;D284</f>
        <v>01090406</v>
      </c>
      <c r="F284" s="1" t="s">
        <v>1219</v>
      </c>
      <c r="G284" s="1" t="str">
        <f t="shared" ref="G284:G286" si="45">"抽屉"&amp;B284&amp;"特殊角度钻头"</f>
        <v>抽屉09特殊角度钻头</v>
      </c>
      <c r="H284" t="str">
        <f t="shared" ref="H284:H286" si="46">"行号"&amp;C284</f>
        <v>行号04</v>
      </c>
      <c r="I284" s="1" t="str">
        <f t="shared" ref="I284:I286" si="47">"序号"&amp;D284</f>
        <v>序号06</v>
      </c>
      <c r="J284" s="45" t="s">
        <v>587</v>
      </c>
      <c r="K284" s="39">
        <v>0</v>
      </c>
      <c r="L284" s="33">
        <v>5</v>
      </c>
      <c r="M284" s="33"/>
      <c r="N284" s="33"/>
      <c r="O284" s="32" t="s">
        <v>1234</v>
      </c>
    </row>
    <row r="285" spans="1:15">
      <c r="A285" s="8" t="s">
        <v>14</v>
      </c>
      <c r="B285" s="8" t="s">
        <v>333</v>
      </c>
      <c r="C285" s="8" t="s">
        <v>20</v>
      </c>
      <c r="D285" s="11" t="s">
        <v>26</v>
      </c>
      <c r="E285" s="7" t="str">
        <f t="shared" si="44"/>
        <v>01090407</v>
      </c>
      <c r="F285" s="1" t="s">
        <v>1219</v>
      </c>
      <c r="G285" s="1" t="str">
        <f t="shared" si="45"/>
        <v>抽屉09特殊角度钻头</v>
      </c>
      <c r="H285" t="str">
        <f t="shared" si="46"/>
        <v>行号04</v>
      </c>
      <c r="I285" s="1" t="str">
        <f t="shared" si="47"/>
        <v>序号07</v>
      </c>
      <c r="J285" s="45" t="s">
        <v>588</v>
      </c>
      <c r="K285" s="39">
        <v>0</v>
      </c>
      <c r="L285" s="33">
        <v>5</v>
      </c>
      <c r="M285" s="33"/>
      <c r="N285" s="33"/>
      <c r="O285" s="32" t="s">
        <v>1234</v>
      </c>
    </row>
    <row r="286" spans="1:15">
      <c r="A286" s="8" t="s">
        <v>14</v>
      </c>
      <c r="B286" s="8" t="s">
        <v>333</v>
      </c>
      <c r="C286" s="8" t="s">
        <v>20</v>
      </c>
      <c r="D286" s="11" t="s">
        <v>28</v>
      </c>
      <c r="E286" s="7" t="str">
        <f t="shared" si="44"/>
        <v>01090408</v>
      </c>
      <c r="F286" s="1" t="s">
        <v>1219</v>
      </c>
      <c r="G286" s="1" t="str">
        <f t="shared" si="45"/>
        <v>抽屉09特殊角度钻头</v>
      </c>
      <c r="H286" t="str">
        <f t="shared" si="46"/>
        <v>行号04</v>
      </c>
      <c r="I286" s="1" t="str">
        <f t="shared" si="47"/>
        <v>序号08</v>
      </c>
      <c r="J286" s="45" t="s">
        <v>1218</v>
      </c>
      <c r="K286" s="39">
        <v>0</v>
      </c>
      <c r="L286" s="33">
        <v>5</v>
      </c>
      <c r="M286" s="33"/>
      <c r="N286" s="33"/>
      <c r="O286" s="32" t="s">
        <v>1233</v>
      </c>
    </row>
    <row r="287" spans="1:15">
      <c r="A287" s="8" t="s">
        <v>14</v>
      </c>
      <c r="B287" s="8" t="s">
        <v>352</v>
      </c>
      <c r="C287" s="10" t="s">
        <v>14</v>
      </c>
      <c r="D287" s="8" t="s">
        <v>14</v>
      </c>
      <c r="E287" s="7" t="str">
        <f t="shared" si="37"/>
        <v>010100101</v>
      </c>
      <c r="F287" s="1" t="s">
        <v>1219</v>
      </c>
      <c r="G287" s="1" t="str">
        <f t="shared" ref="G287:G330" si="48">"抽屉"&amp;B287</f>
        <v>抽屉010</v>
      </c>
      <c r="H287" t="str">
        <f t="shared" si="38"/>
        <v>行号01</v>
      </c>
      <c r="I287" s="1" t="str">
        <f t="shared" si="39"/>
        <v>序号01</v>
      </c>
      <c r="J287" s="38"/>
      <c r="K287" s="42"/>
      <c r="L287" s="42"/>
      <c r="M287" s="42">
        <v>0</v>
      </c>
      <c r="N287" s="41">
        <v>0</v>
      </c>
    </row>
    <row r="288" spans="1:15">
      <c r="A288" s="8" t="s">
        <v>14</v>
      </c>
      <c r="B288" s="8" t="s">
        <v>352</v>
      </c>
      <c r="C288" s="10" t="s">
        <v>14</v>
      </c>
      <c r="D288" s="8" t="s">
        <v>16</v>
      </c>
      <c r="E288" s="7" t="str">
        <f t="shared" si="37"/>
        <v>010100102</v>
      </c>
      <c r="F288" s="1" t="s">
        <v>1219</v>
      </c>
      <c r="G288" s="1" t="str">
        <f t="shared" si="48"/>
        <v>抽屉010</v>
      </c>
      <c r="H288" t="str">
        <f t="shared" si="38"/>
        <v>行号01</v>
      </c>
      <c r="I288" s="1" t="str">
        <f t="shared" si="39"/>
        <v>序号02</v>
      </c>
      <c r="J288" s="38"/>
      <c r="K288" s="42"/>
      <c r="L288" s="42"/>
      <c r="M288" s="42">
        <v>0</v>
      </c>
      <c r="N288" s="41">
        <v>0</v>
      </c>
    </row>
    <row r="289" spans="1:14">
      <c r="A289" s="8" t="s">
        <v>14</v>
      </c>
      <c r="B289" s="8" t="s">
        <v>352</v>
      </c>
      <c r="C289" s="10" t="s">
        <v>14</v>
      </c>
      <c r="D289" s="8" t="s">
        <v>18</v>
      </c>
      <c r="E289" s="7" t="str">
        <f t="shared" si="37"/>
        <v>010100103</v>
      </c>
      <c r="F289" s="1" t="s">
        <v>1219</v>
      </c>
      <c r="G289" s="1" t="str">
        <f t="shared" si="48"/>
        <v>抽屉010</v>
      </c>
      <c r="H289" t="str">
        <f t="shared" si="38"/>
        <v>行号01</v>
      </c>
      <c r="I289" s="1" t="str">
        <f t="shared" si="39"/>
        <v>序号03</v>
      </c>
      <c r="J289" s="38"/>
      <c r="K289" s="42"/>
      <c r="L289" s="42"/>
      <c r="M289" s="42">
        <v>0</v>
      </c>
      <c r="N289" s="41">
        <v>0</v>
      </c>
    </row>
    <row r="290" spans="1:14">
      <c r="A290" s="8" t="s">
        <v>14</v>
      </c>
      <c r="B290" s="8" t="s">
        <v>352</v>
      </c>
      <c r="C290" s="10" t="s">
        <v>14</v>
      </c>
      <c r="D290" s="8" t="s">
        <v>20</v>
      </c>
      <c r="E290" s="7" t="str">
        <f t="shared" si="37"/>
        <v>010100104</v>
      </c>
      <c r="F290" s="1" t="s">
        <v>1219</v>
      </c>
      <c r="G290" s="1" t="str">
        <f t="shared" si="48"/>
        <v>抽屉010</v>
      </c>
      <c r="H290" t="str">
        <f t="shared" si="38"/>
        <v>行号01</v>
      </c>
      <c r="I290" s="1" t="str">
        <f t="shared" si="39"/>
        <v>序号04</v>
      </c>
      <c r="J290" s="24"/>
      <c r="K290" s="42"/>
      <c r="L290" s="42"/>
      <c r="M290" s="42">
        <v>0</v>
      </c>
      <c r="N290" s="41">
        <v>0</v>
      </c>
    </row>
    <row r="291" spans="1:14">
      <c r="A291" s="8" t="s">
        <v>14</v>
      </c>
      <c r="B291" s="8" t="s">
        <v>352</v>
      </c>
      <c r="C291" s="10" t="s">
        <v>14</v>
      </c>
      <c r="D291" s="8" t="s">
        <v>22</v>
      </c>
      <c r="E291" s="7" t="str">
        <f t="shared" si="37"/>
        <v>010100105</v>
      </c>
      <c r="F291" s="1" t="s">
        <v>1219</v>
      </c>
      <c r="G291" s="1" t="str">
        <f t="shared" si="48"/>
        <v>抽屉010</v>
      </c>
      <c r="H291" t="str">
        <f t="shared" si="38"/>
        <v>行号01</v>
      </c>
      <c r="I291" s="1" t="str">
        <f t="shared" si="39"/>
        <v>序号05</v>
      </c>
      <c r="J291" s="24"/>
      <c r="K291" s="42"/>
      <c r="L291" s="42"/>
      <c r="M291" s="42">
        <v>0</v>
      </c>
      <c r="N291" s="41">
        <v>0</v>
      </c>
    </row>
    <row r="292" spans="1:14">
      <c r="A292" s="8" t="s">
        <v>14</v>
      </c>
      <c r="B292" s="8" t="s">
        <v>352</v>
      </c>
      <c r="C292" s="10" t="s">
        <v>14</v>
      </c>
      <c r="D292" s="8" t="s">
        <v>24</v>
      </c>
      <c r="E292" s="7" t="str">
        <f t="shared" si="37"/>
        <v>010100106</v>
      </c>
      <c r="F292" s="1" t="s">
        <v>1219</v>
      </c>
      <c r="G292" s="1" t="str">
        <f t="shared" si="48"/>
        <v>抽屉010</v>
      </c>
      <c r="H292" t="str">
        <f t="shared" si="38"/>
        <v>行号01</v>
      </c>
      <c r="I292" s="1" t="str">
        <f t="shared" si="39"/>
        <v>序号06</v>
      </c>
      <c r="J292" s="24"/>
      <c r="K292" s="42"/>
      <c r="L292" s="42"/>
      <c r="M292" s="42">
        <v>0</v>
      </c>
      <c r="N292" s="41">
        <v>0</v>
      </c>
    </row>
    <row r="293" spans="1:14">
      <c r="A293" s="8" t="s">
        <v>14</v>
      </c>
      <c r="B293" s="8" t="s">
        <v>352</v>
      </c>
      <c r="C293" s="10" t="s">
        <v>14</v>
      </c>
      <c r="D293" s="8" t="s">
        <v>26</v>
      </c>
      <c r="E293" s="7" t="str">
        <f t="shared" si="37"/>
        <v>010100107</v>
      </c>
      <c r="F293" s="1" t="s">
        <v>1219</v>
      </c>
      <c r="G293" s="1" t="str">
        <f t="shared" si="48"/>
        <v>抽屉010</v>
      </c>
      <c r="H293" t="str">
        <f t="shared" si="38"/>
        <v>行号01</v>
      </c>
      <c r="I293" s="1" t="str">
        <f t="shared" si="39"/>
        <v>序号07</v>
      </c>
      <c r="J293" s="24"/>
      <c r="K293" s="42"/>
      <c r="L293" s="42"/>
      <c r="M293" s="42">
        <v>0</v>
      </c>
      <c r="N293" s="41">
        <v>0</v>
      </c>
    </row>
    <row r="294" spans="1:14">
      <c r="A294" s="8" t="s">
        <v>14</v>
      </c>
      <c r="B294" s="8" t="s">
        <v>352</v>
      </c>
      <c r="C294" s="10" t="s">
        <v>14</v>
      </c>
      <c r="D294" s="8" t="s">
        <v>28</v>
      </c>
      <c r="E294" s="7" t="str">
        <f t="shared" si="37"/>
        <v>010100108</v>
      </c>
      <c r="F294" s="1" t="s">
        <v>1219</v>
      </c>
      <c r="G294" s="1" t="str">
        <f t="shared" si="48"/>
        <v>抽屉010</v>
      </c>
      <c r="H294" t="str">
        <f t="shared" si="38"/>
        <v>行号01</v>
      </c>
      <c r="I294" s="1" t="str">
        <f t="shared" si="39"/>
        <v>序号08</v>
      </c>
      <c r="J294" s="38"/>
      <c r="K294" s="42"/>
      <c r="L294" s="42"/>
      <c r="M294" s="42">
        <v>0</v>
      </c>
      <c r="N294" s="41">
        <v>0</v>
      </c>
    </row>
    <row r="295" spans="1:14">
      <c r="A295" s="8" t="s">
        <v>14</v>
      </c>
      <c r="B295" s="8" t="s">
        <v>352</v>
      </c>
      <c r="C295" s="8" t="s">
        <v>16</v>
      </c>
      <c r="D295" s="11" t="s">
        <v>14</v>
      </c>
      <c r="E295" s="7" t="str">
        <f t="shared" si="37"/>
        <v>010100201</v>
      </c>
      <c r="F295" s="1" t="s">
        <v>1219</v>
      </c>
      <c r="G295" s="1" t="str">
        <f t="shared" si="48"/>
        <v>抽屉010</v>
      </c>
      <c r="H295" t="str">
        <f t="shared" si="38"/>
        <v>行号02</v>
      </c>
      <c r="I295" s="1" t="str">
        <f t="shared" si="39"/>
        <v>序号01</v>
      </c>
      <c r="J295" s="38"/>
      <c r="K295" s="42"/>
      <c r="L295" s="42"/>
      <c r="M295" s="42">
        <v>0</v>
      </c>
      <c r="N295" s="41">
        <v>0</v>
      </c>
    </row>
    <row r="296" spans="1:14">
      <c r="A296" s="8" t="s">
        <v>14</v>
      </c>
      <c r="B296" s="8" t="s">
        <v>352</v>
      </c>
      <c r="C296" s="8" t="s">
        <v>16</v>
      </c>
      <c r="D296" s="11" t="s">
        <v>16</v>
      </c>
      <c r="E296" s="7" t="str">
        <f t="shared" si="37"/>
        <v>010100202</v>
      </c>
      <c r="F296" s="1" t="s">
        <v>1219</v>
      </c>
      <c r="G296" s="1" t="str">
        <f t="shared" si="48"/>
        <v>抽屉010</v>
      </c>
      <c r="H296" t="str">
        <f t="shared" si="38"/>
        <v>行号02</v>
      </c>
      <c r="I296" s="1" t="str">
        <f t="shared" si="39"/>
        <v>序号02</v>
      </c>
      <c r="J296" s="38"/>
      <c r="K296" s="42"/>
      <c r="L296" s="42"/>
      <c r="M296" s="42">
        <v>0</v>
      </c>
      <c r="N296" s="41">
        <v>0</v>
      </c>
    </row>
    <row r="297" spans="1:14">
      <c r="A297" s="8" t="s">
        <v>14</v>
      </c>
      <c r="B297" s="8" t="s">
        <v>352</v>
      </c>
      <c r="C297" s="8" t="s">
        <v>16</v>
      </c>
      <c r="D297" s="11" t="s">
        <v>18</v>
      </c>
      <c r="E297" s="7" t="str">
        <f t="shared" si="37"/>
        <v>010100203</v>
      </c>
      <c r="F297" s="1" t="s">
        <v>1219</v>
      </c>
      <c r="G297" s="1" t="str">
        <f t="shared" si="48"/>
        <v>抽屉010</v>
      </c>
      <c r="H297" t="str">
        <f t="shared" si="38"/>
        <v>行号02</v>
      </c>
      <c r="I297" s="1" t="str">
        <f t="shared" si="39"/>
        <v>序号03</v>
      </c>
      <c r="J297" s="38"/>
      <c r="K297" s="42"/>
      <c r="L297" s="42"/>
      <c r="M297" s="42">
        <v>0</v>
      </c>
      <c r="N297" s="41">
        <v>0</v>
      </c>
    </row>
    <row r="298" spans="1:14">
      <c r="A298" s="8" t="s">
        <v>14</v>
      </c>
      <c r="B298" s="8" t="s">
        <v>352</v>
      </c>
      <c r="C298" s="8" t="s">
        <v>16</v>
      </c>
      <c r="D298" s="11" t="s">
        <v>20</v>
      </c>
      <c r="E298" s="7" t="str">
        <f t="shared" si="37"/>
        <v>010100204</v>
      </c>
      <c r="F298" s="1" t="s">
        <v>1219</v>
      </c>
      <c r="G298" s="1" t="str">
        <f t="shared" si="48"/>
        <v>抽屉010</v>
      </c>
      <c r="H298" t="str">
        <f t="shared" si="38"/>
        <v>行号02</v>
      </c>
      <c r="I298" s="1" t="str">
        <f t="shared" si="39"/>
        <v>序号04</v>
      </c>
      <c r="J298" s="38"/>
      <c r="K298" s="42"/>
      <c r="L298" s="42"/>
      <c r="M298" s="42">
        <v>0</v>
      </c>
      <c r="N298" s="41">
        <v>0</v>
      </c>
    </row>
    <row r="299" spans="1:14">
      <c r="A299" s="8" t="s">
        <v>14</v>
      </c>
      <c r="B299" s="8" t="s">
        <v>352</v>
      </c>
      <c r="C299" s="8" t="s">
        <v>16</v>
      </c>
      <c r="D299" s="11" t="s">
        <v>22</v>
      </c>
      <c r="E299" s="7" t="str">
        <f t="shared" si="37"/>
        <v>010100205</v>
      </c>
      <c r="F299" s="1" t="s">
        <v>1219</v>
      </c>
      <c r="G299" s="1" t="str">
        <f t="shared" si="48"/>
        <v>抽屉010</v>
      </c>
      <c r="H299" t="str">
        <f t="shared" si="38"/>
        <v>行号02</v>
      </c>
      <c r="I299" s="1" t="str">
        <f t="shared" si="39"/>
        <v>序号05</v>
      </c>
      <c r="J299" s="38"/>
      <c r="K299" s="42"/>
      <c r="L299" s="42"/>
      <c r="M299" s="42">
        <v>0</v>
      </c>
      <c r="N299" s="41">
        <v>0</v>
      </c>
    </row>
    <row r="300" spans="1:14">
      <c r="A300" s="8" t="s">
        <v>14</v>
      </c>
      <c r="B300" s="8" t="s">
        <v>352</v>
      </c>
      <c r="C300" s="8" t="s">
        <v>16</v>
      </c>
      <c r="D300" s="11" t="s">
        <v>24</v>
      </c>
      <c r="E300" s="7" t="str">
        <f t="shared" si="37"/>
        <v>010100206</v>
      </c>
      <c r="F300" s="1" t="s">
        <v>1219</v>
      </c>
      <c r="G300" s="1" t="str">
        <f t="shared" si="48"/>
        <v>抽屉010</v>
      </c>
      <c r="H300" t="str">
        <f t="shared" si="38"/>
        <v>行号02</v>
      </c>
      <c r="I300" s="1" t="str">
        <f t="shared" si="39"/>
        <v>序号06</v>
      </c>
      <c r="J300" s="38"/>
      <c r="K300" s="42"/>
      <c r="L300" s="42"/>
      <c r="M300" s="42">
        <v>0</v>
      </c>
      <c r="N300" s="41">
        <v>0</v>
      </c>
    </row>
    <row r="301" spans="1:14">
      <c r="A301" s="8" t="s">
        <v>14</v>
      </c>
      <c r="B301" s="8" t="s">
        <v>352</v>
      </c>
      <c r="C301" s="8" t="s">
        <v>16</v>
      </c>
      <c r="D301" s="11" t="s">
        <v>26</v>
      </c>
      <c r="E301" s="7" t="str">
        <f t="shared" si="37"/>
        <v>010100207</v>
      </c>
      <c r="F301" s="1" t="s">
        <v>1219</v>
      </c>
      <c r="G301" s="1" t="str">
        <f t="shared" si="48"/>
        <v>抽屉010</v>
      </c>
      <c r="H301" t="str">
        <f t="shared" si="38"/>
        <v>行号02</v>
      </c>
      <c r="I301" s="1" t="str">
        <f t="shared" si="39"/>
        <v>序号07</v>
      </c>
      <c r="J301" s="38"/>
      <c r="K301" s="42"/>
      <c r="L301" s="42"/>
      <c r="M301" s="42">
        <v>0</v>
      </c>
      <c r="N301" s="41">
        <v>0</v>
      </c>
    </row>
    <row r="302" spans="1:14">
      <c r="A302" s="8" t="s">
        <v>14</v>
      </c>
      <c r="B302" s="8" t="s">
        <v>352</v>
      </c>
      <c r="C302" s="8" t="s">
        <v>16</v>
      </c>
      <c r="D302" s="11" t="s">
        <v>28</v>
      </c>
      <c r="E302" s="7" t="str">
        <f t="shared" si="37"/>
        <v>010100208</v>
      </c>
      <c r="F302" s="1" t="s">
        <v>1219</v>
      </c>
      <c r="G302" s="1" t="str">
        <f t="shared" si="48"/>
        <v>抽屉010</v>
      </c>
      <c r="H302" t="str">
        <f t="shared" si="38"/>
        <v>行号02</v>
      </c>
      <c r="I302" s="1" t="str">
        <f t="shared" si="39"/>
        <v>序号08</v>
      </c>
      <c r="J302" s="38"/>
      <c r="K302" s="42"/>
      <c r="L302" s="42"/>
      <c r="M302" s="42">
        <v>0</v>
      </c>
      <c r="N302" s="41">
        <v>0</v>
      </c>
    </row>
    <row r="303" spans="1:14">
      <c r="A303" s="8" t="s">
        <v>14</v>
      </c>
      <c r="B303" s="8" t="s">
        <v>352</v>
      </c>
      <c r="C303" s="10" t="s">
        <v>18</v>
      </c>
      <c r="D303" s="8" t="s">
        <v>14</v>
      </c>
      <c r="E303" s="7" t="str">
        <f t="shared" si="37"/>
        <v>010100301</v>
      </c>
      <c r="F303" s="1" t="s">
        <v>1219</v>
      </c>
      <c r="G303" s="1" t="str">
        <f t="shared" si="48"/>
        <v>抽屉010</v>
      </c>
      <c r="H303" t="str">
        <f t="shared" si="38"/>
        <v>行号03</v>
      </c>
      <c r="I303" s="1" t="str">
        <f t="shared" si="39"/>
        <v>序号01</v>
      </c>
      <c r="J303" s="38"/>
      <c r="K303" s="42"/>
      <c r="L303" s="42"/>
      <c r="M303" s="42">
        <v>0</v>
      </c>
      <c r="N303" s="41">
        <v>0</v>
      </c>
    </row>
    <row r="304" spans="1:14">
      <c r="A304" s="8" t="s">
        <v>14</v>
      </c>
      <c r="B304" s="8" t="s">
        <v>352</v>
      </c>
      <c r="C304" s="10" t="s">
        <v>18</v>
      </c>
      <c r="D304" s="8" t="s">
        <v>16</v>
      </c>
      <c r="E304" s="7" t="str">
        <f t="shared" si="37"/>
        <v>010100302</v>
      </c>
      <c r="F304" s="1" t="s">
        <v>1219</v>
      </c>
      <c r="G304" s="1" t="str">
        <f t="shared" si="48"/>
        <v>抽屉010</v>
      </c>
      <c r="H304" t="str">
        <f t="shared" si="38"/>
        <v>行号03</v>
      </c>
      <c r="I304" s="1" t="str">
        <f t="shared" si="39"/>
        <v>序号02</v>
      </c>
      <c r="J304" s="24"/>
      <c r="K304" s="42"/>
      <c r="L304" s="42"/>
      <c r="M304" s="42">
        <v>0</v>
      </c>
      <c r="N304" s="41">
        <v>0</v>
      </c>
    </row>
    <row r="305" spans="1:15">
      <c r="A305" s="8" t="s">
        <v>14</v>
      </c>
      <c r="B305" s="8" t="s">
        <v>352</v>
      </c>
      <c r="C305" s="10" t="s">
        <v>18</v>
      </c>
      <c r="D305" s="8" t="s">
        <v>18</v>
      </c>
      <c r="E305" s="7" t="str">
        <f t="shared" si="37"/>
        <v>010100303</v>
      </c>
      <c r="F305" s="1" t="s">
        <v>1219</v>
      </c>
      <c r="G305" s="1" t="str">
        <f t="shared" si="48"/>
        <v>抽屉010</v>
      </c>
      <c r="H305" t="str">
        <f t="shared" si="38"/>
        <v>行号03</v>
      </c>
      <c r="I305" s="1" t="str">
        <f t="shared" si="39"/>
        <v>序号03</v>
      </c>
      <c r="J305" s="24"/>
      <c r="K305" s="42"/>
      <c r="L305" s="42"/>
      <c r="M305" s="42">
        <v>0</v>
      </c>
      <c r="N305" s="41">
        <v>0</v>
      </c>
    </row>
    <row r="306" spans="1:15">
      <c r="A306" s="8" t="s">
        <v>14</v>
      </c>
      <c r="B306" s="8" t="s">
        <v>352</v>
      </c>
      <c r="C306" s="10" t="s">
        <v>18</v>
      </c>
      <c r="D306" s="8" t="s">
        <v>20</v>
      </c>
      <c r="E306" s="7" t="str">
        <f t="shared" si="37"/>
        <v>010100304</v>
      </c>
      <c r="F306" s="1" t="s">
        <v>1219</v>
      </c>
      <c r="G306" s="1" t="str">
        <f t="shared" si="48"/>
        <v>抽屉010</v>
      </c>
      <c r="H306" t="str">
        <f t="shared" si="38"/>
        <v>行号03</v>
      </c>
      <c r="I306" s="1" t="str">
        <f t="shared" si="39"/>
        <v>序号04</v>
      </c>
      <c r="J306" s="24"/>
      <c r="K306" s="42"/>
      <c r="L306" s="42"/>
      <c r="M306" s="42">
        <v>0</v>
      </c>
      <c r="N306" s="41">
        <v>0</v>
      </c>
    </row>
    <row r="307" spans="1:15">
      <c r="A307" s="8" t="s">
        <v>14</v>
      </c>
      <c r="B307" s="8" t="s">
        <v>352</v>
      </c>
      <c r="C307" s="10" t="s">
        <v>18</v>
      </c>
      <c r="D307" s="8" t="s">
        <v>22</v>
      </c>
      <c r="E307" s="7" t="str">
        <f t="shared" si="37"/>
        <v>010100305</v>
      </c>
      <c r="F307" s="1" t="s">
        <v>1219</v>
      </c>
      <c r="G307" s="1" t="str">
        <f t="shared" si="48"/>
        <v>抽屉010</v>
      </c>
      <c r="H307" t="str">
        <f t="shared" si="38"/>
        <v>行号03</v>
      </c>
      <c r="I307" s="1" t="str">
        <f t="shared" si="39"/>
        <v>序号05</v>
      </c>
      <c r="J307" s="38"/>
      <c r="K307" s="42"/>
      <c r="L307" s="42"/>
      <c r="M307" s="42">
        <v>0</v>
      </c>
      <c r="N307" s="41">
        <v>0</v>
      </c>
    </row>
    <row r="308" spans="1:15">
      <c r="A308" s="8" t="s">
        <v>14</v>
      </c>
      <c r="B308" s="8" t="s">
        <v>352</v>
      </c>
      <c r="C308" s="10" t="s">
        <v>18</v>
      </c>
      <c r="D308" s="8" t="s">
        <v>24</v>
      </c>
      <c r="E308" s="7" t="str">
        <f t="shared" si="37"/>
        <v>010100306</v>
      </c>
      <c r="F308" s="1" t="s">
        <v>1219</v>
      </c>
      <c r="G308" s="1" t="str">
        <f t="shared" si="48"/>
        <v>抽屉010</v>
      </c>
      <c r="H308" t="str">
        <f t="shared" si="38"/>
        <v>行号03</v>
      </c>
      <c r="I308" s="1" t="str">
        <f t="shared" si="39"/>
        <v>序号06</v>
      </c>
      <c r="J308" s="38"/>
      <c r="K308" s="42"/>
      <c r="L308" s="42"/>
      <c r="M308" s="42">
        <v>0</v>
      </c>
      <c r="N308" s="41">
        <v>0</v>
      </c>
    </row>
    <row r="309" spans="1:15">
      <c r="A309" s="8" t="s">
        <v>14</v>
      </c>
      <c r="B309" s="8" t="s">
        <v>352</v>
      </c>
      <c r="C309" s="10" t="s">
        <v>18</v>
      </c>
      <c r="D309" s="8" t="s">
        <v>26</v>
      </c>
      <c r="E309" s="7" t="str">
        <f t="shared" si="37"/>
        <v>010100307</v>
      </c>
      <c r="F309" s="1" t="s">
        <v>1219</v>
      </c>
      <c r="G309" s="1" t="str">
        <f t="shared" si="48"/>
        <v>抽屉010</v>
      </c>
      <c r="H309" t="str">
        <f t="shared" si="38"/>
        <v>行号03</v>
      </c>
      <c r="I309" s="1" t="str">
        <f t="shared" si="39"/>
        <v>序号07</v>
      </c>
      <c r="J309" s="38"/>
      <c r="K309" s="42"/>
      <c r="L309" s="42"/>
      <c r="M309" s="42">
        <v>0</v>
      </c>
      <c r="N309" s="41">
        <v>0</v>
      </c>
    </row>
    <row r="310" spans="1:15">
      <c r="A310" s="8" t="s">
        <v>14</v>
      </c>
      <c r="B310" s="8" t="s">
        <v>352</v>
      </c>
      <c r="C310" s="10" t="s">
        <v>18</v>
      </c>
      <c r="D310" s="8" t="s">
        <v>28</v>
      </c>
      <c r="E310" s="7" t="str">
        <f t="shared" si="37"/>
        <v>010100308</v>
      </c>
      <c r="F310" s="1" t="s">
        <v>1219</v>
      </c>
      <c r="G310" s="1" t="str">
        <f t="shared" si="48"/>
        <v>抽屉010</v>
      </c>
      <c r="H310" t="str">
        <f t="shared" si="38"/>
        <v>行号03</v>
      </c>
      <c r="I310" s="1" t="str">
        <f t="shared" si="39"/>
        <v>序号08</v>
      </c>
      <c r="J310" s="38"/>
      <c r="K310" s="42"/>
      <c r="L310" s="42"/>
      <c r="M310" s="42">
        <v>0</v>
      </c>
      <c r="N310" s="41">
        <v>0</v>
      </c>
    </row>
    <row r="311" spans="1:15">
      <c r="A311" s="8" t="s">
        <v>14</v>
      </c>
      <c r="B311" s="8" t="s">
        <v>352</v>
      </c>
      <c r="C311" s="8" t="s">
        <v>20</v>
      </c>
      <c r="D311" s="11" t="s">
        <v>14</v>
      </c>
      <c r="E311" s="7" t="str">
        <f t="shared" si="37"/>
        <v>010100401</v>
      </c>
      <c r="F311" s="1" t="s">
        <v>1219</v>
      </c>
      <c r="G311" s="1" t="str">
        <f t="shared" si="48"/>
        <v>抽屉010</v>
      </c>
      <c r="H311" t="str">
        <f t="shared" si="38"/>
        <v>行号04</v>
      </c>
      <c r="I311" s="1" t="str">
        <f t="shared" si="39"/>
        <v>序号01</v>
      </c>
      <c r="J311" s="38"/>
      <c r="K311" s="42"/>
      <c r="L311" s="42"/>
      <c r="M311" s="42">
        <v>0</v>
      </c>
      <c r="N311" s="41">
        <v>0</v>
      </c>
    </row>
    <row r="312" spans="1:15">
      <c r="A312" s="8" t="s">
        <v>14</v>
      </c>
      <c r="B312" s="8" t="s">
        <v>352</v>
      </c>
      <c r="C312" s="8" t="s">
        <v>20</v>
      </c>
      <c r="D312" s="11" t="s">
        <v>16</v>
      </c>
      <c r="E312" s="7" t="str">
        <f t="shared" si="37"/>
        <v>010100402</v>
      </c>
      <c r="F312" s="1" t="s">
        <v>1219</v>
      </c>
      <c r="G312" s="1" t="str">
        <f t="shared" si="48"/>
        <v>抽屉010</v>
      </c>
      <c r="H312" t="str">
        <f t="shared" si="38"/>
        <v>行号04</v>
      </c>
      <c r="I312" s="1" t="str">
        <f t="shared" si="39"/>
        <v>序号02</v>
      </c>
      <c r="J312" s="38"/>
      <c r="K312" s="42"/>
      <c r="L312" s="42"/>
      <c r="M312" s="42">
        <v>0</v>
      </c>
      <c r="N312" s="41">
        <v>0</v>
      </c>
    </row>
    <row r="313" spans="1:15">
      <c r="A313" s="8" t="s">
        <v>14</v>
      </c>
      <c r="B313" s="8" t="s">
        <v>352</v>
      </c>
      <c r="C313" s="8" t="s">
        <v>20</v>
      </c>
      <c r="D313" s="11" t="s">
        <v>18</v>
      </c>
      <c r="E313" s="7" t="str">
        <f t="shared" si="37"/>
        <v>010100403</v>
      </c>
      <c r="F313" s="1" t="s">
        <v>1219</v>
      </c>
      <c r="G313" s="1" t="str">
        <f t="shared" si="48"/>
        <v>抽屉010</v>
      </c>
      <c r="H313" t="str">
        <f t="shared" si="38"/>
        <v>行号04</v>
      </c>
      <c r="I313" s="1" t="str">
        <f t="shared" si="39"/>
        <v>序号03</v>
      </c>
      <c r="J313" s="24"/>
      <c r="K313" s="42"/>
      <c r="L313" s="42"/>
      <c r="M313" s="42">
        <v>0</v>
      </c>
      <c r="N313" s="41">
        <v>0</v>
      </c>
    </row>
    <row r="314" spans="1:15">
      <c r="A314" s="8" t="s">
        <v>14</v>
      </c>
      <c r="B314" s="8" t="s">
        <v>352</v>
      </c>
      <c r="C314" s="8" t="s">
        <v>20</v>
      </c>
      <c r="D314" s="11" t="s">
        <v>20</v>
      </c>
      <c r="E314" s="7" t="str">
        <f t="shared" si="37"/>
        <v>010100404</v>
      </c>
      <c r="F314" s="1" t="s">
        <v>1219</v>
      </c>
      <c r="G314" s="1" t="str">
        <f t="shared" si="48"/>
        <v>抽屉010</v>
      </c>
      <c r="H314" t="str">
        <f t="shared" si="38"/>
        <v>行号04</v>
      </c>
      <c r="I314" s="1" t="str">
        <f t="shared" si="39"/>
        <v>序号04</v>
      </c>
      <c r="J314" s="24"/>
      <c r="K314" s="42"/>
      <c r="L314" s="42"/>
      <c r="M314" s="42">
        <v>0</v>
      </c>
      <c r="N314" s="41">
        <v>0</v>
      </c>
    </row>
    <row r="315" spans="1:15">
      <c r="A315" s="8" t="s">
        <v>14</v>
      </c>
      <c r="B315" s="8" t="s">
        <v>16</v>
      </c>
      <c r="C315" s="10" t="s">
        <v>14</v>
      </c>
      <c r="D315" s="8" t="s">
        <v>24</v>
      </c>
      <c r="E315" s="7" t="str">
        <f t="shared" si="37"/>
        <v>01020106</v>
      </c>
      <c r="F315" s="1" t="s">
        <v>1219</v>
      </c>
      <c r="G315" s="1" t="str">
        <f t="shared" si="48"/>
        <v>抽屉02</v>
      </c>
      <c r="H315" t="str">
        <f t="shared" si="38"/>
        <v>行号01</v>
      </c>
      <c r="I315" s="1" t="str">
        <f t="shared" si="39"/>
        <v>序号06</v>
      </c>
      <c r="J315" s="46" t="s">
        <v>464</v>
      </c>
      <c r="K315" s="39"/>
      <c r="L315" s="39"/>
      <c r="M315" s="33"/>
      <c r="N315" s="33"/>
      <c r="O315" s="57"/>
    </row>
    <row r="316" spans="1:15">
      <c r="A316" s="8" t="s">
        <v>14</v>
      </c>
      <c r="B316" s="8" t="s">
        <v>16</v>
      </c>
      <c r="C316" s="10" t="s">
        <v>14</v>
      </c>
      <c r="D316" s="8" t="s">
        <v>26</v>
      </c>
      <c r="E316" s="7" t="str">
        <f t="shared" si="37"/>
        <v>01020107</v>
      </c>
      <c r="F316" s="1" t="s">
        <v>1219</v>
      </c>
      <c r="G316" s="1" t="str">
        <f t="shared" si="48"/>
        <v>抽屉02</v>
      </c>
      <c r="H316" t="str">
        <f t="shared" si="38"/>
        <v>行号01</v>
      </c>
      <c r="I316" s="1" t="str">
        <f t="shared" si="39"/>
        <v>序号07</v>
      </c>
      <c r="J316" s="46" t="s">
        <v>466</v>
      </c>
      <c r="K316" s="39"/>
      <c r="L316" s="39"/>
      <c r="M316" s="33"/>
      <c r="N316" s="33"/>
      <c r="O316" s="57"/>
    </row>
    <row r="317" spans="1:15">
      <c r="A317" s="8" t="s">
        <v>14</v>
      </c>
      <c r="B317" s="8" t="s">
        <v>16</v>
      </c>
      <c r="C317" s="10" t="s">
        <v>18</v>
      </c>
      <c r="D317" s="8" t="s">
        <v>28</v>
      </c>
      <c r="E317" s="7" t="str">
        <f t="shared" si="37"/>
        <v>01020308</v>
      </c>
      <c r="F317" s="1" t="s">
        <v>1219</v>
      </c>
      <c r="G317" s="1" t="str">
        <f t="shared" si="48"/>
        <v>抽屉02</v>
      </c>
      <c r="H317" t="str">
        <f t="shared" si="38"/>
        <v>行号03</v>
      </c>
      <c r="I317" s="1" t="str">
        <f t="shared" si="39"/>
        <v>序号08</v>
      </c>
      <c r="J317" s="38" t="s">
        <v>479</v>
      </c>
      <c r="K317" s="39"/>
      <c r="L317" s="39"/>
      <c r="M317" s="33"/>
      <c r="N317" s="33"/>
    </row>
    <row r="318" spans="1:15">
      <c r="A318" s="8" t="s">
        <v>14</v>
      </c>
      <c r="B318" s="8" t="s">
        <v>16</v>
      </c>
      <c r="C318" s="8" t="s">
        <v>20</v>
      </c>
      <c r="D318" s="11" t="s">
        <v>14</v>
      </c>
      <c r="E318" s="7" t="str">
        <f t="shared" si="37"/>
        <v>01020401</v>
      </c>
      <c r="F318" s="1" t="s">
        <v>1219</v>
      </c>
      <c r="G318" s="1" t="str">
        <f t="shared" si="48"/>
        <v>抽屉02</v>
      </c>
      <c r="H318" t="str">
        <f t="shared" si="38"/>
        <v>行号04</v>
      </c>
      <c r="I318" s="1" t="str">
        <f t="shared" si="39"/>
        <v>序号01</v>
      </c>
      <c r="J318" s="38" t="s">
        <v>478</v>
      </c>
      <c r="K318" s="39"/>
      <c r="L318" s="39"/>
      <c r="M318" s="33"/>
      <c r="N318" s="33"/>
    </row>
    <row r="319" spans="1:15">
      <c r="A319" s="8" t="s">
        <v>14</v>
      </c>
      <c r="B319" s="8" t="s">
        <v>16</v>
      </c>
      <c r="C319" s="8" t="s">
        <v>20</v>
      </c>
      <c r="D319" s="11" t="s">
        <v>16</v>
      </c>
      <c r="E319" s="7" t="str">
        <f t="shared" si="37"/>
        <v>01020402</v>
      </c>
      <c r="F319" s="1" t="s">
        <v>1219</v>
      </c>
      <c r="G319" s="1" t="str">
        <f t="shared" si="48"/>
        <v>抽屉02</v>
      </c>
      <c r="H319" t="str">
        <f t="shared" si="38"/>
        <v>行号04</v>
      </c>
      <c r="I319" s="1" t="str">
        <f t="shared" si="39"/>
        <v>序号02</v>
      </c>
      <c r="J319" s="38" t="s">
        <v>480</v>
      </c>
      <c r="K319" s="39"/>
      <c r="L319" s="39"/>
      <c r="M319" s="33"/>
      <c r="N319" s="33"/>
    </row>
    <row r="320" spans="1:15">
      <c r="A320" s="8" t="s">
        <v>14</v>
      </c>
      <c r="B320" s="8" t="s">
        <v>16</v>
      </c>
      <c r="C320" s="8" t="s">
        <v>20</v>
      </c>
      <c r="D320" s="11" t="s">
        <v>18</v>
      </c>
      <c r="E320" s="7" t="str">
        <f t="shared" si="37"/>
        <v>01020403</v>
      </c>
      <c r="F320" s="1" t="s">
        <v>1219</v>
      </c>
      <c r="G320" s="1" t="str">
        <f t="shared" si="48"/>
        <v>抽屉02</v>
      </c>
      <c r="H320" t="str">
        <f t="shared" si="38"/>
        <v>行号04</v>
      </c>
      <c r="I320" s="1" t="str">
        <f t="shared" si="39"/>
        <v>序号03</v>
      </c>
      <c r="J320" s="38" t="s">
        <v>481</v>
      </c>
      <c r="K320" s="39"/>
      <c r="L320" s="39"/>
      <c r="M320" s="33"/>
      <c r="N320" s="33"/>
    </row>
    <row r="321" spans="1:14">
      <c r="A321" s="8" t="s">
        <v>14</v>
      </c>
      <c r="B321" s="8" t="s">
        <v>16</v>
      </c>
      <c r="C321" s="8" t="s">
        <v>20</v>
      </c>
      <c r="D321" s="11" t="s">
        <v>20</v>
      </c>
      <c r="E321" s="7" t="str">
        <f t="shared" si="37"/>
        <v>01020404</v>
      </c>
      <c r="F321" s="1" t="s">
        <v>1219</v>
      </c>
      <c r="G321" s="1" t="str">
        <f t="shared" si="48"/>
        <v>抽屉02</v>
      </c>
      <c r="H321" t="str">
        <f t="shared" si="38"/>
        <v>行号04</v>
      </c>
      <c r="I321" s="1" t="str">
        <f t="shared" si="39"/>
        <v>序号04</v>
      </c>
      <c r="J321" s="38" t="s">
        <v>482</v>
      </c>
      <c r="K321" s="39"/>
      <c r="L321" s="39"/>
      <c r="M321" s="33"/>
      <c r="N321" s="33"/>
    </row>
    <row r="322" spans="1:14">
      <c r="A322" s="8" t="s">
        <v>14</v>
      </c>
      <c r="B322" s="9" t="s">
        <v>18</v>
      </c>
      <c r="C322" s="10" t="s">
        <v>18</v>
      </c>
      <c r="D322" s="8" t="s">
        <v>20</v>
      </c>
      <c r="E322" s="7" t="str">
        <f t="shared" si="37"/>
        <v>01030304</v>
      </c>
      <c r="F322" s="1" t="s">
        <v>1219</v>
      </c>
      <c r="G322" s="1" t="str">
        <f t="shared" si="48"/>
        <v>抽屉03</v>
      </c>
      <c r="H322" t="str">
        <f t="shared" si="38"/>
        <v>行号03</v>
      </c>
      <c r="I322" s="1" t="str">
        <f t="shared" si="39"/>
        <v>序号04</v>
      </c>
      <c r="J322" s="24" t="s">
        <v>500</v>
      </c>
      <c r="K322" s="39"/>
      <c r="L322" s="39"/>
      <c r="M322" s="33"/>
      <c r="N322" s="33"/>
    </row>
    <row r="323" spans="1:14">
      <c r="A323" s="8" t="s">
        <v>14</v>
      </c>
      <c r="B323" s="8" t="s">
        <v>333</v>
      </c>
      <c r="C323" s="8" t="s">
        <v>20</v>
      </c>
      <c r="D323" s="11" t="s">
        <v>22</v>
      </c>
      <c r="E323" s="7" t="str">
        <f t="shared" si="37"/>
        <v>01090405</v>
      </c>
      <c r="F323" s="1" t="s">
        <v>1219</v>
      </c>
      <c r="G323" s="1" t="str">
        <f t="shared" si="48"/>
        <v>抽屉09</v>
      </c>
      <c r="H323" t="str">
        <f t="shared" si="38"/>
        <v>行号04</v>
      </c>
      <c r="I323" s="1" t="str">
        <f t="shared" si="39"/>
        <v>序号05</v>
      </c>
      <c r="J323" s="27" t="s">
        <v>586</v>
      </c>
      <c r="K323" s="39">
        <v>0</v>
      </c>
      <c r="L323" s="39">
        <v>5</v>
      </c>
      <c r="M323" s="33"/>
      <c r="N323" s="39"/>
    </row>
    <row r="324" spans="1:14">
      <c r="A324" s="8" t="s">
        <v>14</v>
      </c>
      <c r="B324" s="8" t="s">
        <v>333</v>
      </c>
      <c r="C324" s="8" t="s">
        <v>20</v>
      </c>
      <c r="D324" s="11" t="s">
        <v>24</v>
      </c>
      <c r="E324" s="7" t="str">
        <f t="shared" si="37"/>
        <v>01090406</v>
      </c>
      <c r="F324" s="1" t="s">
        <v>1219</v>
      </c>
      <c r="G324" s="1" t="str">
        <f t="shared" si="48"/>
        <v>抽屉09</v>
      </c>
      <c r="H324" t="str">
        <f t="shared" si="38"/>
        <v>行号04</v>
      </c>
      <c r="I324" s="1" t="str">
        <f t="shared" si="39"/>
        <v>序号06</v>
      </c>
      <c r="J324" s="27" t="s">
        <v>587</v>
      </c>
      <c r="K324" s="39">
        <v>0</v>
      </c>
      <c r="L324" s="39">
        <v>5</v>
      </c>
      <c r="M324" s="33"/>
      <c r="N324" s="39"/>
    </row>
    <row r="325" spans="1:14">
      <c r="A325" s="8" t="s">
        <v>14</v>
      </c>
      <c r="B325" s="8" t="s">
        <v>333</v>
      </c>
      <c r="C325" s="8" t="s">
        <v>20</v>
      </c>
      <c r="D325" s="11" t="s">
        <v>26</v>
      </c>
      <c r="E325" s="7" t="str">
        <f t="shared" si="37"/>
        <v>01090407</v>
      </c>
      <c r="F325" s="1" t="s">
        <v>1219</v>
      </c>
      <c r="G325" s="1" t="str">
        <f t="shared" si="48"/>
        <v>抽屉09</v>
      </c>
      <c r="H325" t="str">
        <f t="shared" si="38"/>
        <v>行号04</v>
      </c>
      <c r="I325" s="1" t="str">
        <f t="shared" si="39"/>
        <v>序号07</v>
      </c>
      <c r="J325" s="27" t="s">
        <v>588</v>
      </c>
      <c r="K325" s="39">
        <v>0</v>
      </c>
      <c r="L325" s="39">
        <v>5</v>
      </c>
      <c r="M325" s="33"/>
      <c r="N325" s="39"/>
    </row>
    <row r="326" spans="1:14">
      <c r="A326" s="8" t="s">
        <v>14</v>
      </c>
      <c r="B326" s="8" t="s">
        <v>333</v>
      </c>
      <c r="C326" s="8" t="s">
        <v>20</v>
      </c>
      <c r="D326" s="11" t="s">
        <v>28</v>
      </c>
      <c r="E326" s="7" t="str">
        <f t="shared" si="37"/>
        <v>01090408</v>
      </c>
      <c r="F326" s="1" t="s">
        <v>1219</v>
      </c>
      <c r="G326" s="1" t="str">
        <f t="shared" si="48"/>
        <v>抽屉09</v>
      </c>
      <c r="H326" t="str">
        <f t="shared" si="38"/>
        <v>行号04</v>
      </c>
      <c r="I326" s="1" t="str">
        <f t="shared" si="39"/>
        <v>序号08</v>
      </c>
      <c r="J326" s="45" t="s">
        <v>589</v>
      </c>
      <c r="K326" s="39">
        <v>0</v>
      </c>
      <c r="L326" s="39">
        <v>5</v>
      </c>
      <c r="M326" s="33"/>
      <c r="N326" s="39"/>
    </row>
    <row r="327" spans="1:14">
      <c r="A327" s="8" t="s">
        <v>14</v>
      </c>
      <c r="B327" s="8" t="s">
        <v>352</v>
      </c>
      <c r="C327" s="8" t="s">
        <v>20</v>
      </c>
      <c r="D327" s="11" t="s">
        <v>22</v>
      </c>
      <c r="E327" s="7" t="str">
        <f t="shared" si="37"/>
        <v>010100405</v>
      </c>
      <c r="F327" s="1" t="s">
        <v>1219</v>
      </c>
      <c r="G327" s="1" t="str">
        <f t="shared" si="48"/>
        <v>抽屉010</v>
      </c>
      <c r="H327" t="str">
        <f t="shared" si="38"/>
        <v>行号04</v>
      </c>
      <c r="I327" s="1" t="str">
        <f t="shared" si="39"/>
        <v>序号05</v>
      </c>
      <c r="J327" s="47"/>
      <c r="K327" s="42"/>
      <c r="L327" s="42"/>
      <c r="M327" s="42">
        <v>0</v>
      </c>
      <c r="N327" s="41">
        <v>0</v>
      </c>
    </row>
    <row r="328" spans="1:14">
      <c r="A328" s="8" t="s">
        <v>14</v>
      </c>
      <c r="B328" s="8" t="s">
        <v>352</v>
      </c>
      <c r="C328" s="8" t="s">
        <v>20</v>
      </c>
      <c r="D328" s="11" t="s">
        <v>24</v>
      </c>
      <c r="E328" s="7" t="str">
        <f t="shared" si="37"/>
        <v>010100406</v>
      </c>
      <c r="F328" s="1" t="s">
        <v>1219</v>
      </c>
      <c r="G328" s="1" t="str">
        <f t="shared" si="48"/>
        <v>抽屉010</v>
      </c>
      <c r="H328" t="str">
        <f t="shared" si="38"/>
        <v>行号04</v>
      </c>
      <c r="I328" s="1" t="str">
        <f t="shared" si="39"/>
        <v>序号06</v>
      </c>
      <c r="J328" s="47"/>
      <c r="K328" s="42"/>
      <c r="L328" s="42"/>
      <c r="M328" s="42">
        <v>0</v>
      </c>
      <c r="N328" s="41">
        <v>0</v>
      </c>
    </row>
    <row r="329" spans="1:14">
      <c r="A329" s="8" t="s">
        <v>14</v>
      </c>
      <c r="B329" s="8" t="s">
        <v>352</v>
      </c>
      <c r="C329" s="8" t="s">
        <v>20</v>
      </c>
      <c r="D329" s="11" t="s">
        <v>26</v>
      </c>
      <c r="E329" s="7" t="str">
        <f t="shared" si="37"/>
        <v>010100407</v>
      </c>
      <c r="F329" s="1" t="s">
        <v>1219</v>
      </c>
      <c r="G329" s="1" t="str">
        <f t="shared" si="48"/>
        <v>抽屉010</v>
      </c>
      <c r="H329" t="str">
        <f t="shared" si="38"/>
        <v>行号04</v>
      </c>
      <c r="I329" s="1" t="str">
        <f t="shared" si="39"/>
        <v>序号07</v>
      </c>
      <c r="J329" s="47"/>
      <c r="K329" s="42"/>
      <c r="L329" s="42"/>
      <c r="M329" s="42">
        <v>0</v>
      </c>
      <c r="N329" s="41">
        <v>0</v>
      </c>
    </row>
    <row r="330" spans="1:14">
      <c r="A330" s="8" t="s">
        <v>14</v>
      </c>
      <c r="B330" s="8" t="s">
        <v>352</v>
      </c>
      <c r="C330" s="8" t="s">
        <v>20</v>
      </c>
      <c r="D330" s="11" t="s">
        <v>28</v>
      </c>
      <c r="E330" s="7" t="str">
        <f t="shared" si="37"/>
        <v>010100408</v>
      </c>
      <c r="F330" s="1" t="s">
        <v>1219</v>
      </c>
      <c r="G330" s="1" t="str">
        <f t="shared" si="48"/>
        <v>抽屉010</v>
      </c>
      <c r="H330" t="str">
        <f t="shared" si="38"/>
        <v>行号04</v>
      </c>
      <c r="I330" s="1" t="str">
        <f t="shared" si="39"/>
        <v>序号08</v>
      </c>
      <c r="J330" s="47"/>
      <c r="K330" s="42"/>
      <c r="L330" s="42"/>
      <c r="M330" s="42">
        <v>0</v>
      </c>
      <c r="N330" s="41">
        <v>0</v>
      </c>
    </row>
  </sheetData>
  <autoFilter ref="A1:O330"/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22"/>
  <sheetViews>
    <sheetView tabSelected="1" workbookViewId="0">
      <pane ySplit="1" topLeftCell="A155" activePane="bottomLeft" state="frozen"/>
      <selection pane="bottomLeft" activeCell="M170" sqref="M170"/>
    </sheetView>
  </sheetViews>
  <sheetFormatPr defaultColWidth="9" defaultRowHeight="18"/>
  <cols>
    <col min="3" max="3" width="12" customWidth="1"/>
    <col min="5" max="5" width="17.75" style="2" customWidth="1"/>
    <col min="6" max="6" width="14.5" customWidth="1"/>
    <col min="7" max="7" width="30.125" customWidth="1"/>
    <col min="8" max="8" width="23.875" customWidth="1"/>
    <col min="9" max="9" width="13.625" customWidth="1"/>
    <col min="10" max="10" width="25.375" customWidth="1"/>
    <col min="11" max="11" width="11.75" style="17" customWidth="1"/>
    <col min="12" max="12" width="9.5" style="17" customWidth="1"/>
    <col min="13" max="13" width="10.625" style="17" customWidth="1"/>
    <col min="14" max="14" width="10.5" style="17" customWidth="1"/>
    <col min="15" max="15" width="9" style="17" customWidth="1"/>
    <col min="16" max="16" width="9" style="31"/>
    <col min="17" max="17" width="9" style="20"/>
    <col min="18" max="51" width="9" style="3"/>
  </cols>
  <sheetData>
    <row r="1" spans="1:51" s="1" customFormat="1" ht="28.5" customHeight="1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1228</v>
      </c>
      <c r="P1" s="33" t="s">
        <v>1229</v>
      </c>
      <c r="Q1" s="30" t="s">
        <v>1230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</row>
    <row r="2" spans="1:51" s="1" customFormat="1" ht="15.95" customHeight="1">
      <c r="A2" s="8" t="s">
        <v>16</v>
      </c>
      <c r="B2" s="9" t="s">
        <v>14</v>
      </c>
      <c r="C2" s="10" t="s">
        <v>14</v>
      </c>
      <c r="D2" s="8" t="s">
        <v>14</v>
      </c>
      <c r="E2" s="7" t="str">
        <f t="shared" ref="E2:E65" si="0">A2&amp;B2&amp;C2&amp;D2</f>
        <v>02010101</v>
      </c>
      <c r="F2" s="1" t="s">
        <v>1221</v>
      </c>
      <c r="G2" s="1" t="str">
        <f>"抽屉"&amp;B2&amp;"高速钢钻头"</f>
        <v>抽屉01高速钢钻头</v>
      </c>
      <c r="H2" t="str">
        <f t="shared" ref="H2:H65" si="1">"行号"&amp;C2</f>
        <v>行号01</v>
      </c>
      <c r="I2" s="1" t="str">
        <f t="shared" ref="I2:I65" si="2">"序号"&amp;D2</f>
        <v>序号01</v>
      </c>
      <c r="J2" s="36" t="s">
        <v>590</v>
      </c>
      <c r="K2" s="39">
        <v>0</v>
      </c>
      <c r="L2" s="39">
        <v>5</v>
      </c>
      <c r="M2" s="40"/>
      <c r="N2" s="40"/>
      <c r="O2" s="32" t="s">
        <v>1242</v>
      </c>
      <c r="P2" s="31"/>
      <c r="Q2" s="31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</row>
    <row r="3" spans="1:51" ht="15.95" customHeight="1">
      <c r="A3" s="8" t="s">
        <v>16</v>
      </c>
      <c r="B3" s="9" t="s">
        <v>14</v>
      </c>
      <c r="C3" s="10" t="s">
        <v>14</v>
      </c>
      <c r="D3" s="8" t="s">
        <v>16</v>
      </c>
      <c r="E3" s="7" t="str">
        <f t="shared" si="0"/>
        <v>02010102</v>
      </c>
      <c r="F3" s="1" t="s">
        <v>1221</v>
      </c>
      <c r="G3" s="1" t="str">
        <f t="shared" ref="G3:G33" si="3">"抽屉"&amp;B3&amp;"高速钢钻头"</f>
        <v>抽屉01高速钢钻头</v>
      </c>
      <c r="H3" t="str">
        <f t="shared" si="1"/>
        <v>行号01</v>
      </c>
      <c r="I3" s="1" t="str">
        <f t="shared" si="2"/>
        <v>序号02</v>
      </c>
      <c r="J3" s="36" t="s">
        <v>591</v>
      </c>
      <c r="K3" s="39">
        <v>0</v>
      </c>
      <c r="L3" s="39">
        <v>5</v>
      </c>
      <c r="M3" s="39"/>
      <c r="N3" s="39"/>
      <c r="O3" s="32" t="s">
        <v>1242</v>
      </c>
    </row>
    <row r="4" spans="1:51" ht="15.95" customHeight="1">
      <c r="A4" s="8" t="s">
        <v>16</v>
      </c>
      <c r="B4" s="9" t="s">
        <v>14</v>
      </c>
      <c r="C4" s="10" t="s">
        <v>14</v>
      </c>
      <c r="D4" s="8" t="s">
        <v>18</v>
      </c>
      <c r="E4" s="7" t="str">
        <f t="shared" si="0"/>
        <v>02010103</v>
      </c>
      <c r="F4" s="1" t="s">
        <v>1221</v>
      </c>
      <c r="G4" s="1" t="str">
        <f t="shared" si="3"/>
        <v>抽屉01高速钢钻头</v>
      </c>
      <c r="H4" t="str">
        <f t="shared" si="1"/>
        <v>行号01</v>
      </c>
      <c r="I4" s="1" t="str">
        <f t="shared" si="2"/>
        <v>序号03</v>
      </c>
      <c r="J4" s="36" t="s">
        <v>592</v>
      </c>
      <c r="K4" s="39">
        <v>0</v>
      </c>
      <c r="L4" s="39">
        <v>5</v>
      </c>
      <c r="M4" s="39"/>
      <c r="N4" s="39"/>
      <c r="O4" s="32" t="s">
        <v>1242</v>
      </c>
    </row>
    <row r="5" spans="1:51" ht="15.95" customHeight="1">
      <c r="A5" s="8" t="s">
        <v>16</v>
      </c>
      <c r="B5" s="9" t="s">
        <v>14</v>
      </c>
      <c r="C5" s="10" t="s">
        <v>14</v>
      </c>
      <c r="D5" s="8" t="s">
        <v>20</v>
      </c>
      <c r="E5" s="7" t="str">
        <f t="shared" si="0"/>
        <v>02010104</v>
      </c>
      <c r="F5" s="1" t="s">
        <v>1221</v>
      </c>
      <c r="G5" s="1" t="str">
        <f t="shared" si="3"/>
        <v>抽屉01高速钢钻头</v>
      </c>
      <c r="H5" t="str">
        <f t="shared" si="1"/>
        <v>行号01</v>
      </c>
      <c r="I5" s="1" t="str">
        <f t="shared" si="2"/>
        <v>序号04</v>
      </c>
      <c r="J5" s="36" t="s">
        <v>593</v>
      </c>
      <c r="K5" s="39">
        <v>0</v>
      </c>
      <c r="L5" s="39">
        <v>5</v>
      </c>
      <c r="M5" s="40"/>
      <c r="N5" s="40"/>
      <c r="O5" s="32" t="s">
        <v>1235</v>
      </c>
    </row>
    <row r="6" spans="1:51" ht="15.95" customHeight="1">
      <c r="A6" s="8" t="s">
        <v>16</v>
      </c>
      <c r="B6" s="9" t="s">
        <v>14</v>
      </c>
      <c r="C6" s="10" t="s">
        <v>14</v>
      </c>
      <c r="D6" s="8" t="s">
        <v>22</v>
      </c>
      <c r="E6" s="7" t="str">
        <f t="shared" si="0"/>
        <v>02010105</v>
      </c>
      <c r="F6" s="1" t="s">
        <v>1221</v>
      </c>
      <c r="G6" s="1" t="str">
        <f t="shared" si="3"/>
        <v>抽屉01高速钢钻头</v>
      </c>
      <c r="H6" t="str">
        <f t="shared" si="1"/>
        <v>行号01</v>
      </c>
      <c r="I6" s="1" t="str">
        <f t="shared" si="2"/>
        <v>序号05</v>
      </c>
      <c r="J6" s="36" t="s">
        <v>594</v>
      </c>
      <c r="K6" s="39">
        <v>0</v>
      </c>
      <c r="L6" s="39">
        <v>5</v>
      </c>
      <c r="M6" s="39"/>
      <c r="N6" s="39"/>
      <c r="O6" s="32" t="s">
        <v>1235</v>
      </c>
    </row>
    <row r="7" spans="1:51" ht="15.95" customHeight="1">
      <c r="A7" s="8" t="s">
        <v>16</v>
      </c>
      <c r="B7" s="9" t="s">
        <v>14</v>
      </c>
      <c r="C7" s="10" t="s">
        <v>14</v>
      </c>
      <c r="D7" s="8" t="s">
        <v>24</v>
      </c>
      <c r="E7" s="7" t="str">
        <f t="shared" si="0"/>
        <v>02010106</v>
      </c>
      <c r="F7" s="1" t="s">
        <v>1221</v>
      </c>
      <c r="G7" s="1" t="str">
        <f t="shared" si="3"/>
        <v>抽屉01高速钢钻头</v>
      </c>
      <c r="H7" t="str">
        <f t="shared" si="1"/>
        <v>行号01</v>
      </c>
      <c r="I7" s="1" t="str">
        <f t="shared" si="2"/>
        <v>序号06</v>
      </c>
      <c r="J7" s="36" t="s">
        <v>595</v>
      </c>
      <c r="K7" s="39">
        <v>0</v>
      </c>
      <c r="L7" s="39">
        <v>5</v>
      </c>
      <c r="M7" s="39"/>
      <c r="N7" s="39"/>
      <c r="O7" s="32" t="s">
        <v>1235</v>
      </c>
    </row>
    <row r="8" spans="1:51" ht="15.95" customHeight="1">
      <c r="A8" s="8" t="s">
        <v>16</v>
      </c>
      <c r="B8" s="9" t="s">
        <v>14</v>
      </c>
      <c r="C8" s="10" t="s">
        <v>14</v>
      </c>
      <c r="D8" s="8" t="s">
        <v>26</v>
      </c>
      <c r="E8" s="7" t="str">
        <f t="shared" si="0"/>
        <v>02010107</v>
      </c>
      <c r="F8" s="1" t="s">
        <v>1221</v>
      </c>
      <c r="G8" s="1" t="str">
        <f t="shared" si="3"/>
        <v>抽屉01高速钢钻头</v>
      </c>
      <c r="H8" t="str">
        <f t="shared" si="1"/>
        <v>行号01</v>
      </c>
      <c r="I8" s="1" t="str">
        <f t="shared" si="2"/>
        <v>序号07</v>
      </c>
      <c r="J8" s="36" t="s">
        <v>596</v>
      </c>
      <c r="K8" s="39">
        <v>0</v>
      </c>
      <c r="L8" s="39">
        <v>5</v>
      </c>
      <c r="M8" s="39"/>
      <c r="N8" s="39"/>
      <c r="O8" s="32" t="s">
        <v>1235</v>
      </c>
    </row>
    <row r="9" spans="1:51" ht="15.95" customHeight="1">
      <c r="A9" s="8" t="s">
        <v>16</v>
      </c>
      <c r="B9" s="9" t="s">
        <v>14</v>
      </c>
      <c r="C9" s="10" t="s">
        <v>14</v>
      </c>
      <c r="D9" s="8" t="s">
        <v>28</v>
      </c>
      <c r="E9" s="7" t="str">
        <f t="shared" si="0"/>
        <v>02010108</v>
      </c>
      <c r="F9" s="1" t="s">
        <v>1221</v>
      </c>
      <c r="G9" s="1" t="str">
        <f t="shared" si="3"/>
        <v>抽屉01高速钢钻头</v>
      </c>
      <c r="H9" t="str">
        <f t="shared" si="1"/>
        <v>行号01</v>
      </c>
      <c r="I9" s="1" t="str">
        <f t="shared" si="2"/>
        <v>序号08</v>
      </c>
      <c r="J9" s="36" t="s">
        <v>597</v>
      </c>
      <c r="K9" s="39">
        <v>0</v>
      </c>
      <c r="L9" s="39">
        <v>5</v>
      </c>
      <c r="M9" s="39"/>
      <c r="N9" s="39"/>
      <c r="O9" s="32" t="s">
        <v>1235</v>
      </c>
    </row>
    <row r="10" spans="1:51" ht="15.95" customHeight="1">
      <c r="A10" s="8" t="s">
        <v>16</v>
      </c>
      <c r="B10" s="9" t="s">
        <v>14</v>
      </c>
      <c r="C10" s="8" t="s">
        <v>16</v>
      </c>
      <c r="D10" s="11" t="s">
        <v>14</v>
      </c>
      <c r="E10" s="7" t="str">
        <f t="shared" si="0"/>
        <v>02010201</v>
      </c>
      <c r="F10" s="1" t="s">
        <v>1221</v>
      </c>
      <c r="G10" s="1" t="str">
        <f t="shared" si="3"/>
        <v>抽屉01高速钢钻头</v>
      </c>
      <c r="H10" t="str">
        <f t="shared" si="1"/>
        <v>行号02</v>
      </c>
      <c r="I10" s="1" t="str">
        <f t="shared" si="2"/>
        <v>序号01</v>
      </c>
      <c r="J10" s="36" t="s">
        <v>598</v>
      </c>
      <c r="K10" s="39">
        <v>0</v>
      </c>
      <c r="L10" s="39">
        <v>5</v>
      </c>
      <c r="M10" s="40"/>
      <c r="N10" s="40"/>
      <c r="O10" s="32" t="s">
        <v>1235</v>
      </c>
    </row>
    <row r="11" spans="1:51" ht="15.95" customHeight="1">
      <c r="A11" s="8" t="s">
        <v>16</v>
      </c>
      <c r="B11" s="9" t="s">
        <v>14</v>
      </c>
      <c r="C11" s="8" t="s">
        <v>16</v>
      </c>
      <c r="D11" s="11" t="s">
        <v>16</v>
      </c>
      <c r="E11" s="7" t="str">
        <f t="shared" si="0"/>
        <v>02010202</v>
      </c>
      <c r="F11" s="1" t="s">
        <v>1221</v>
      </c>
      <c r="G11" s="1" t="str">
        <f t="shared" si="3"/>
        <v>抽屉01高速钢钻头</v>
      </c>
      <c r="H11" t="str">
        <f t="shared" si="1"/>
        <v>行号02</v>
      </c>
      <c r="I11" s="1" t="str">
        <f t="shared" si="2"/>
        <v>序号02</v>
      </c>
      <c r="J11" s="36" t="s">
        <v>599</v>
      </c>
      <c r="K11" s="39">
        <v>0</v>
      </c>
      <c r="L11" s="39">
        <v>5</v>
      </c>
      <c r="M11" s="39"/>
      <c r="N11" s="39"/>
      <c r="O11" s="32" t="s">
        <v>1235</v>
      </c>
    </row>
    <row r="12" spans="1:51" ht="15.95" customHeight="1">
      <c r="A12" s="8" t="s">
        <v>16</v>
      </c>
      <c r="B12" s="9" t="s">
        <v>14</v>
      </c>
      <c r="C12" s="8" t="s">
        <v>16</v>
      </c>
      <c r="D12" s="11" t="s">
        <v>18</v>
      </c>
      <c r="E12" s="7" t="str">
        <f t="shared" si="0"/>
        <v>02010203</v>
      </c>
      <c r="F12" s="1" t="s">
        <v>1221</v>
      </c>
      <c r="G12" s="1" t="str">
        <f t="shared" si="3"/>
        <v>抽屉01高速钢钻头</v>
      </c>
      <c r="H12" t="str">
        <f t="shared" si="1"/>
        <v>行号02</v>
      </c>
      <c r="I12" s="1" t="str">
        <f t="shared" si="2"/>
        <v>序号03</v>
      </c>
      <c r="J12" s="36" t="s">
        <v>600</v>
      </c>
      <c r="K12" s="39">
        <v>0</v>
      </c>
      <c r="L12" s="39">
        <v>5</v>
      </c>
      <c r="M12" s="39"/>
      <c r="N12" s="39"/>
      <c r="O12" s="32" t="s">
        <v>1235</v>
      </c>
    </row>
    <row r="13" spans="1:51" ht="15.95" customHeight="1">
      <c r="A13" s="8" t="s">
        <v>16</v>
      </c>
      <c r="B13" s="9" t="s">
        <v>14</v>
      </c>
      <c r="C13" s="8" t="s">
        <v>16</v>
      </c>
      <c r="D13" s="11" t="s">
        <v>20</v>
      </c>
      <c r="E13" s="7" t="str">
        <f t="shared" si="0"/>
        <v>02010204</v>
      </c>
      <c r="F13" s="1" t="s">
        <v>1221</v>
      </c>
      <c r="G13" s="1" t="str">
        <f t="shared" si="3"/>
        <v>抽屉01高速钢钻头</v>
      </c>
      <c r="H13" t="str">
        <f t="shared" si="1"/>
        <v>行号02</v>
      </c>
      <c r="I13" s="1" t="str">
        <f t="shared" si="2"/>
        <v>序号04</v>
      </c>
      <c r="J13" s="36" t="s">
        <v>601</v>
      </c>
      <c r="K13" s="39">
        <v>0</v>
      </c>
      <c r="L13" s="39">
        <v>5</v>
      </c>
      <c r="M13" s="40"/>
      <c r="N13" s="40"/>
      <c r="O13" s="32" t="s">
        <v>1235</v>
      </c>
    </row>
    <row r="14" spans="1:51" ht="15.95" customHeight="1">
      <c r="A14" s="8" t="s">
        <v>16</v>
      </c>
      <c r="B14" s="9" t="s">
        <v>14</v>
      </c>
      <c r="C14" s="8" t="s">
        <v>16</v>
      </c>
      <c r="D14" s="11" t="s">
        <v>22</v>
      </c>
      <c r="E14" s="7" t="str">
        <f t="shared" si="0"/>
        <v>02010205</v>
      </c>
      <c r="F14" s="1" t="s">
        <v>1221</v>
      </c>
      <c r="G14" s="1" t="str">
        <f t="shared" si="3"/>
        <v>抽屉01高速钢钻头</v>
      </c>
      <c r="H14" t="str">
        <f t="shared" si="1"/>
        <v>行号02</v>
      </c>
      <c r="I14" s="1" t="str">
        <f t="shared" si="2"/>
        <v>序号05</v>
      </c>
      <c r="J14" s="36" t="s">
        <v>602</v>
      </c>
      <c r="K14" s="39">
        <v>0</v>
      </c>
      <c r="L14" s="39">
        <v>5</v>
      </c>
      <c r="M14" s="40"/>
      <c r="N14" s="40"/>
      <c r="O14" s="32" t="s">
        <v>1235</v>
      </c>
    </row>
    <row r="15" spans="1:51" ht="15.95" customHeight="1">
      <c r="A15" s="8" t="s">
        <v>16</v>
      </c>
      <c r="B15" s="9" t="s">
        <v>14</v>
      </c>
      <c r="C15" s="8" t="s">
        <v>16</v>
      </c>
      <c r="D15" s="11" t="s">
        <v>24</v>
      </c>
      <c r="E15" s="7" t="str">
        <f t="shared" si="0"/>
        <v>02010206</v>
      </c>
      <c r="F15" s="1" t="s">
        <v>1221</v>
      </c>
      <c r="G15" s="1" t="str">
        <f t="shared" si="3"/>
        <v>抽屉01高速钢钻头</v>
      </c>
      <c r="H15" t="str">
        <f t="shared" si="1"/>
        <v>行号02</v>
      </c>
      <c r="I15" s="1" t="str">
        <f t="shared" si="2"/>
        <v>序号06</v>
      </c>
      <c r="J15" s="36" t="s">
        <v>603</v>
      </c>
      <c r="K15" s="39">
        <v>0</v>
      </c>
      <c r="L15" s="39">
        <v>5</v>
      </c>
      <c r="M15" s="40"/>
      <c r="N15" s="40"/>
      <c r="O15" s="32" t="s">
        <v>1235</v>
      </c>
    </row>
    <row r="16" spans="1:51" ht="15.95" customHeight="1">
      <c r="A16" s="8" t="s">
        <v>16</v>
      </c>
      <c r="B16" s="9" t="s">
        <v>14</v>
      </c>
      <c r="C16" s="8" t="s">
        <v>16</v>
      </c>
      <c r="D16" s="11" t="s">
        <v>26</v>
      </c>
      <c r="E16" s="7" t="str">
        <f t="shared" si="0"/>
        <v>02010207</v>
      </c>
      <c r="F16" s="1" t="s">
        <v>1221</v>
      </c>
      <c r="G16" s="1" t="str">
        <f t="shared" si="3"/>
        <v>抽屉01高速钢钻头</v>
      </c>
      <c r="H16" t="str">
        <f t="shared" si="1"/>
        <v>行号02</v>
      </c>
      <c r="I16" s="1" t="str">
        <f t="shared" si="2"/>
        <v>序号07</v>
      </c>
      <c r="J16" s="36" t="s">
        <v>604</v>
      </c>
      <c r="K16" s="39">
        <v>0</v>
      </c>
      <c r="L16" s="39">
        <v>5</v>
      </c>
      <c r="M16" s="40"/>
      <c r="N16" s="40"/>
      <c r="O16" s="32" t="s">
        <v>1235</v>
      </c>
    </row>
    <row r="17" spans="1:15" ht="15.95" customHeight="1">
      <c r="A17" s="8" t="s">
        <v>16</v>
      </c>
      <c r="B17" s="9" t="s">
        <v>14</v>
      </c>
      <c r="C17" s="8" t="s">
        <v>16</v>
      </c>
      <c r="D17" s="11" t="s">
        <v>28</v>
      </c>
      <c r="E17" s="7" t="str">
        <f t="shared" si="0"/>
        <v>02010208</v>
      </c>
      <c r="F17" s="1" t="s">
        <v>1221</v>
      </c>
      <c r="G17" s="1" t="str">
        <f t="shared" si="3"/>
        <v>抽屉01高速钢钻头</v>
      </c>
      <c r="H17" t="str">
        <f t="shared" si="1"/>
        <v>行号02</v>
      </c>
      <c r="I17" s="1" t="str">
        <f t="shared" si="2"/>
        <v>序号08</v>
      </c>
      <c r="J17" s="36" t="s">
        <v>605</v>
      </c>
      <c r="K17" s="39">
        <v>0</v>
      </c>
      <c r="L17" s="39">
        <v>5</v>
      </c>
      <c r="M17" s="40"/>
      <c r="N17" s="40"/>
      <c r="O17" s="32" t="s">
        <v>1235</v>
      </c>
    </row>
    <row r="18" spans="1:15" ht="15.95" customHeight="1">
      <c r="A18" s="8" t="s">
        <v>16</v>
      </c>
      <c r="B18" s="9" t="s">
        <v>14</v>
      </c>
      <c r="C18" s="10" t="s">
        <v>18</v>
      </c>
      <c r="D18" s="8" t="s">
        <v>14</v>
      </c>
      <c r="E18" s="7" t="str">
        <f t="shared" si="0"/>
        <v>02010301</v>
      </c>
      <c r="F18" s="1" t="s">
        <v>1221</v>
      </c>
      <c r="G18" s="1" t="str">
        <f t="shared" si="3"/>
        <v>抽屉01高速钢钻头</v>
      </c>
      <c r="H18" t="str">
        <f t="shared" si="1"/>
        <v>行号03</v>
      </c>
      <c r="I18" s="1" t="str">
        <f t="shared" si="2"/>
        <v>序号01</v>
      </c>
      <c r="J18" s="36" t="s">
        <v>606</v>
      </c>
      <c r="K18" s="39">
        <v>0</v>
      </c>
      <c r="L18" s="39">
        <v>5</v>
      </c>
      <c r="M18" s="40"/>
      <c r="N18" s="40"/>
      <c r="O18" s="32" t="s">
        <v>1235</v>
      </c>
    </row>
    <row r="19" spans="1:15" ht="15.95" customHeight="1">
      <c r="A19" s="8" t="s">
        <v>16</v>
      </c>
      <c r="B19" s="9" t="s">
        <v>14</v>
      </c>
      <c r="C19" s="10" t="s">
        <v>18</v>
      </c>
      <c r="D19" s="8" t="s">
        <v>16</v>
      </c>
      <c r="E19" s="7" t="str">
        <f t="shared" si="0"/>
        <v>02010302</v>
      </c>
      <c r="F19" s="1" t="s">
        <v>1221</v>
      </c>
      <c r="G19" s="1" t="str">
        <f t="shared" si="3"/>
        <v>抽屉01高速钢钻头</v>
      </c>
      <c r="H19" t="str">
        <f t="shared" si="1"/>
        <v>行号03</v>
      </c>
      <c r="I19" s="1" t="str">
        <f t="shared" si="2"/>
        <v>序号02</v>
      </c>
      <c r="J19" s="36" t="s">
        <v>607</v>
      </c>
      <c r="K19" s="39">
        <v>0</v>
      </c>
      <c r="L19" s="39">
        <v>5</v>
      </c>
      <c r="M19" s="40"/>
      <c r="N19" s="40"/>
      <c r="O19" s="32" t="s">
        <v>1242</v>
      </c>
    </row>
    <row r="20" spans="1:15" ht="15.95" customHeight="1">
      <c r="A20" s="8" t="s">
        <v>16</v>
      </c>
      <c r="B20" s="9" t="s">
        <v>14</v>
      </c>
      <c r="C20" s="10" t="s">
        <v>18</v>
      </c>
      <c r="D20" s="8" t="s">
        <v>18</v>
      </c>
      <c r="E20" s="7" t="str">
        <f t="shared" si="0"/>
        <v>02010303</v>
      </c>
      <c r="F20" s="1" t="s">
        <v>1221</v>
      </c>
      <c r="G20" s="1" t="str">
        <f t="shared" si="3"/>
        <v>抽屉01高速钢钻头</v>
      </c>
      <c r="H20" t="str">
        <f t="shared" si="1"/>
        <v>行号03</v>
      </c>
      <c r="I20" s="1" t="str">
        <f t="shared" si="2"/>
        <v>序号03</v>
      </c>
      <c r="J20" s="36" t="s">
        <v>608</v>
      </c>
      <c r="K20" s="39">
        <v>0</v>
      </c>
      <c r="L20" s="39">
        <v>5</v>
      </c>
      <c r="M20" s="40"/>
      <c r="N20" s="40"/>
      <c r="O20" s="32" t="s">
        <v>1242</v>
      </c>
    </row>
    <row r="21" spans="1:15" ht="15.95" customHeight="1">
      <c r="A21" s="8" t="s">
        <v>16</v>
      </c>
      <c r="B21" s="9" t="s">
        <v>14</v>
      </c>
      <c r="C21" s="10" t="s">
        <v>18</v>
      </c>
      <c r="D21" s="8" t="s">
        <v>20</v>
      </c>
      <c r="E21" s="7" t="str">
        <f t="shared" si="0"/>
        <v>02010304</v>
      </c>
      <c r="F21" s="1" t="s">
        <v>1221</v>
      </c>
      <c r="G21" s="1" t="str">
        <f t="shared" si="3"/>
        <v>抽屉01高速钢钻头</v>
      </c>
      <c r="H21" t="str">
        <f t="shared" si="1"/>
        <v>行号03</v>
      </c>
      <c r="I21" s="1" t="str">
        <f t="shared" si="2"/>
        <v>序号04</v>
      </c>
      <c r="J21" s="36" t="s">
        <v>609</v>
      </c>
      <c r="K21" s="39">
        <v>0</v>
      </c>
      <c r="L21" s="39">
        <v>5</v>
      </c>
      <c r="M21" s="40"/>
      <c r="N21" s="40"/>
      <c r="O21" s="32" t="s">
        <v>1242</v>
      </c>
    </row>
    <row r="22" spans="1:15" ht="15.95" customHeight="1">
      <c r="A22" s="8" t="s">
        <v>16</v>
      </c>
      <c r="B22" s="9" t="s">
        <v>14</v>
      </c>
      <c r="C22" s="10" t="s">
        <v>18</v>
      </c>
      <c r="D22" s="8" t="s">
        <v>22</v>
      </c>
      <c r="E22" s="7" t="str">
        <f t="shared" si="0"/>
        <v>02010305</v>
      </c>
      <c r="F22" s="1" t="s">
        <v>1221</v>
      </c>
      <c r="G22" s="1" t="str">
        <f t="shared" si="3"/>
        <v>抽屉01高速钢钻头</v>
      </c>
      <c r="H22" t="str">
        <f t="shared" si="1"/>
        <v>行号03</v>
      </c>
      <c r="I22" s="1" t="str">
        <f t="shared" si="2"/>
        <v>序号05</v>
      </c>
      <c r="J22" s="36" t="s">
        <v>610</v>
      </c>
      <c r="K22" s="39">
        <v>0</v>
      </c>
      <c r="L22" s="39">
        <v>5</v>
      </c>
      <c r="M22" s="40"/>
      <c r="N22" s="40"/>
      <c r="O22" s="32" t="s">
        <v>1242</v>
      </c>
    </row>
    <row r="23" spans="1:15" ht="15.95" customHeight="1">
      <c r="A23" s="8" t="s">
        <v>16</v>
      </c>
      <c r="B23" s="9" t="s">
        <v>14</v>
      </c>
      <c r="C23" s="10" t="s">
        <v>18</v>
      </c>
      <c r="D23" s="8" t="s">
        <v>24</v>
      </c>
      <c r="E23" s="7" t="str">
        <f t="shared" si="0"/>
        <v>02010306</v>
      </c>
      <c r="F23" s="1" t="s">
        <v>1221</v>
      </c>
      <c r="G23" s="1" t="str">
        <f t="shared" si="3"/>
        <v>抽屉01高速钢钻头</v>
      </c>
      <c r="H23" t="str">
        <f t="shared" si="1"/>
        <v>行号03</v>
      </c>
      <c r="I23" s="1" t="str">
        <f t="shared" si="2"/>
        <v>序号06</v>
      </c>
      <c r="J23" s="36" t="s">
        <v>611</v>
      </c>
      <c r="K23" s="39">
        <v>0</v>
      </c>
      <c r="L23" s="39">
        <v>5</v>
      </c>
      <c r="M23" s="40"/>
      <c r="N23" s="40"/>
      <c r="O23" s="32" t="s">
        <v>1235</v>
      </c>
    </row>
    <row r="24" spans="1:15" ht="15.95" customHeight="1">
      <c r="A24" s="8" t="s">
        <v>16</v>
      </c>
      <c r="B24" s="9" t="s">
        <v>14</v>
      </c>
      <c r="C24" s="10" t="s">
        <v>18</v>
      </c>
      <c r="D24" s="8" t="s">
        <v>26</v>
      </c>
      <c r="E24" s="7" t="str">
        <f t="shared" si="0"/>
        <v>02010307</v>
      </c>
      <c r="F24" s="1" t="s">
        <v>1221</v>
      </c>
      <c r="G24" s="1" t="str">
        <f t="shared" si="3"/>
        <v>抽屉01高速钢钻头</v>
      </c>
      <c r="H24" t="str">
        <f t="shared" si="1"/>
        <v>行号03</v>
      </c>
      <c r="I24" s="1" t="str">
        <f t="shared" si="2"/>
        <v>序号07</v>
      </c>
      <c r="J24" s="36" t="s">
        <v>612</v>
      </c>
      <c r="K24" s="39">
        <v>0</v>
      </c>
      <c r="L24" s="39">
        <v>5</v>
      </c>
      <c r="M24" s="40"/>
      <c r="N24" s="40"/>
      <c r="O24" s="32" t="s">
        <v>1242</v>
      </c>
    </row>
    <row r="25" spans="1:15" ht="15.95" customHeight="1">
      <c r="A25" s="8" t="s">
        <v>16</v>
      </c>
      <c r="B25" s="9" t="s">
        <v>14</v>
      </c>
      <c r="C25" s="10" t="s">
        <v>18</v>
      </c>
      <c r="D25" s="8" t="s">
        <v>28</v>
      </c>
      <c r="E25" s="7" t="str">
        <f t="shared" si="0"/>
        <v>02010308</v>
      </c>
      <c r="F25" s="1" t="s">
        <v>1221</v>
      </c>
      <c r="G25" s="1" t="str">
        <f t="shared" si="3"/>
        <v>抽屉01高速钢钻头</v>
      </c>
      <c r="H25" t="str">
        <f t="shared" si="1"/>
        <v>行号03</v>
      </c>
      <c r="I25" s="1" t="str">
        <f t="shared" si="2"/>
        <v>序号08</v>
      </c>
      <c r="J25" s="36" t="s">
        <v>613</v>
      </c>
      <c r="K25" s="39">
        <v>0</v>
      </c>
      <c r="L25" s="39">
        <v>5</v>
      </c>
      <c r="M25" s="40"/>
      <c r="N25" s="40"/>
      <c r="O25" s="32" t="s">
        <v>1235</v>
      </c>
    </row>
    <row r="26" spans="1:15" ht="15.95" customHeight="1">
      <c r="A26" s="8" t="s">
        <v>16</v>
      </c>
      <c r="B26" s="9" t="s">
        <v>14</v>
      </c>
      <c r="C26" s="8" t="s">
        <v>20</v>
      </c>
      <c r="D26" s="11" t="s">
        <v>14</v>
      </c>
      <c r="E26" s="7" t="str">
        <f t="shared" si="0"/>
        <v>02010401</v>
      </c>
      <c r="F26" s="1" t="s">
        <v>1221</v>
      </c>
      <c r="G26" s="1" t="str">
        <f t="shared" si="3"/>
        <v>抽屉01高速钢钻头</v>
      </c>
      <c r="H26" t="str">
        <f t="shared" si="1"/>
        <v>行号04</v>
      </c>
      <c r="I26" s="1" t="str">
        <f t="shared" si="2"/>
        <v>序号01</v>
      </c>
      <c r="J26" s="36" t="s">
        <v>614</v>
      </c>
      <c r="K26" s="39">
        <v>0</v>
      </c>
      <c r="L26" s="39">
        <v>5</v>
      </c>
      <c r="M26" s="40"/>
      <c r="N26" s="40"/>
      <c r="O26" s="32" t="s">
        <v>1235</v>
      </c>
    </row>
    <row r="27" spans="1:15" ht="15.95" customHeight="1">
      <c r="A27" s="8" t="s">
        <v>16</v>
      </c>
      <c r="B27" s="9" t="s">
        <v>14</v>
      </c>
      <c r="C27" s="8" t="s">
        <v>20</v>
      </c>
      <c r="D27" s="11" t="s">
        <v>16</v>
      </c>
      <c r="E27" s="7" t="str">
        <f t="shared" si="0"/>
        <v>02010402</v>
      </c>
      <c r="F27" s="1" t="s">
        <v>1221</v>
      </c>
      <c r="G27" s="1" t="str">
        <f t="shared" si="3"/>
        <v>抽屉01高速钢钻头</v>
      </c>
      <c r="H27" t="str">
        <f t="shared" si="1"/>
        <v>行号04</v>
      </c>
      <c r="I27" s="1" t="str">
        <f t="shared" si="2"/>
        <v>序号02</v>
      </c>
      <c r="J27" s="36" t="s">
        <v>471</v>
      </c>
      <c r="K27" s="39">
        <v>0</v>
      </c>
      <c r="L27" s="39">
        <v>5</v>
      </c>
      <c r="M27" s="40"/>
      <c r="N27" s="40"/>
      <c r="O27" s="32" t="s">
        <v>1235</v>
      </c>
    </row>
    <row r="28" spans="1:15" ht="15.95" customHeight="1">
      <c r="A28" s="8" t="s">
        <v>16</v>
      </c>
      <c r="B28" s="9" t="s">
        <v>14</v>
      </c>
      <c r="C28" s="8" t="s">
        <v>20</v>
      </c>
      <c r="D28" s="11" t="s">
        <v>18</v>
      </c>
      <c r="E28" s="7" t="str">
        <f t="shared" si="0"/>
        <v>02010403</v>
      </c>
      <c r="F28" s="1" t="s">
        <v>1221</v>
      </c>
      <c r="G28" s="1" t="str">
        <f t="shared" si="3"/>
        <v>抽屉01高速钢钻头</v>
      </c>
      <c r="H28" t="str">
        <f t="shared" si="1"/>
        <v>行号04</v>
      </c>
      <c r="I28" s="1" t="str">
        <f t="shared" si="2"/>
        <v>序号03</v>
      </c>
      <c r="J28" s="36" t="s">
        <v>615</v>
      </c>
      <c r="K28" s="39">
        <v>0</v>
      </c>
      <c r="L28" s="39">
        <v>5</v>
      </c>
      <c r="M28" s="40"/>
      <c r="N28" s="40"/>
      <c r="O28" s="32" t="s">
        <v>1235</v>
      </c>
    </row>
    <row r="29" spans="1:15" ht="15.95" customHeight="1">
      <c r="A29" s="8" t="s">
        <v>16</v>
      </c>
      <c r="B29" s="9" t="s">
        <v>14</v>
      </c>
      <c r="C29" s="8" t="s">
        <v>20</v>
      </c>
      <c r="D29" s="11" t="s">
        <v>20</v>
      </c>
      <c r="E29" s="7" t="str">
        <f t="shared" si="0"/>
        <v>02010404</v>
      </c>
      <c r="F29" s="1" t="s">
        <v>1221</v>
      </c>
      <c r="G29" s="1" t="str">
        <f t="shared" si="3"/>
        <v>抽屉01高速钢钻头</v>
      </c>
      <c r="H29" t="str">
        <f t="shared" si="1"/>
        <v>行号04</v>
      </c>
      <c r="I29" s="1" t="str">
        <f t="shared" si="2"/>
        <v>序号04</v>
      </c>
      <c r="J29" s="36" t="s">
        <v>616</v>
      </c>
      <c r="K29" s="39">
        <v>0</v>
      </c>
      <c r="L29" s="39">
        <v>5</v>
      </c>
      <c r="M29" s="40"/>
      <c r="N29" s="40"/>
      <c r="O29" s="32" t="s">
        <v>1235</v>
      </c>
    </row>
    <row r="30" spans="1:15" ht="15.95" customHeight="1">
      <c r="A30" s="8" t="s">
        <v>16</v>
      </c>
      <c r="B30" s="9" t="s">
        <v>14</v>
      </c>
      <c r="C30" s="8" t="s">
        <v>20</v>
      </c>
      <c r="D30" s="11" t="s">
        <v>22</v>
      </c>
      <c r="E30" s="7" t="str">
        <f t="shared" si="0"/>
        <v>02010405</v>
      </c>
      <c r="F30" s="1" t="s">
        <v>1221</v>
      </c>
      <c r="G30" s="1" t="str">
        <f t="shared" si="3"/>
        <v>抽屉01高速钢钻头</v>
      </c>
      <c r="H30" t="str">
        <f t="shared" si="1"/>
        <v>行号04</v>
      </c>
      <c r="I30" s="1" t="str">
        <f t="shared" si="2"/>
        <v>序号05</v>
      </c>
      <c r="J30" s="36" t="s">
        <v>617</v>
      </c>
      <c r="K30" s="39">
        <v>0</v>
      </c>
      <c r="L30" s="39">
        <v>5</v>
      </c>
      <c r="M30" s="40"/>
      <c r="N30" s="40"/>
      <c r="O30" s="32" t="s">
        <v>1235</v>
      </c>
    </row>
    <row r="31" spans="1:15" ht="15.95" customHeight="1">
      <c r="A31" s="8" t="s">
        <v>16</v>
      </c>
      <c r="B31" s="9" t="s">
        <v>14</v>
      </c>
      <c r="C31" s="8" t="s">
        <v>20</v>
      </c>
      <c r="D31" s="11" t="s">
        <v>24</v>
      </c>
      <c r="E31" s="7" t="str">
        <f t="shared" si="0"/>
        <v>02010406</v>
      </c>
      <c r="F31" s="1" t="s">
        <v>1221</v>
      </c>
      <c r="G31" s="1" t="str">
        <f t="shared" si="3"/>
        <v>抽屉01高速钢钻头</v>
      </c>
      <c r="H31" t="str">
        <f t="shared" si="1"/>
        <v>行号04</v>
      </c>
      <c r="I31" s="1" t="str">
        <f t="shared" si="2"/>
        <v>序号06</v>
      </c>
      <c r="J31" s="36" t="s">
        <v>618</v>
      </c>
      <c r="K31" s="39">
        <v>0</v>
      </c>
      <c r="L31" s="39">
        <v>5</v>
      </c>
      <c r="M31" s="40"/>
      <c r="N31" s="40"/>
      <c r="O31" s="32" t="s">
        <v>1242</v>
      </c>
    </row>
    <row r="32" spans="1:15" ht="15.95" customHeight="1">
      <c r="A32" s="8" t="s">
        <v>16</v>
      </c>
      <c r="B32" s="9" t="s">
        <v>14</v>
      </c>
      <c r="C32" s="8" t="s">
        <v>20</v>
      </c>
      <c r="D32" s="11" t="s">
        <v>26</v>
      </c>
      <c r="E32" s="7" t="str">
        <f t="shared" si="0"/>
        <v>02010407</v>
      </c>
      <c r="F32" s="1" t="s">
        <v>1221</v>
      </c>
      <c r="G32" s="1" t="str">
        <f t="shared" si="3"/>
        <v>抽屉01高速钢钻头</v>
      </c>
      <c r="H32" t="str">
        <f t="shared" si="1"/>
        <v>行号04</v>
      </c>
      <c r="I32" s="1" t="str">
        <f t="shared" si="2"/>
        <v>序号07</v>
      </c>
      <c r="J32" s="36" t="s">
        <v>619</v>
      </c>
      <c r="K32" s="39">
        <v>0</v>
      </c>
      <c r="L32" s="39">
        <v>5</v>
      </c>
      <c r="M32" s="40"/>
      <c r="N32" s="40"/>
      <c r="O32" s="32" t="s">
        <v>1235</v>
      </c>
    </row>
    <row r="33" spans="1:15" ht="15.95" customHeight="1">
      <c r="A33" s="8" t="s">
        <v>16</v>
      </c>
      <c r="B33" s="9" t="s">
        <v>14</v>
      </c>
      <c r="C33" s="8" t="s">
        <v>20</v>
      </c>
      <c r="D33" s="11" t="s">
        <v>28</v>
      </c>
      <c r="E33" s="7" t="str">
        <f t="shared" si="0"/>
        <v>02010408</v>
      </c>
      <c r="F33" s="1" t="s">
        <v>1221</v>
      </c>
      <c r="G33" s="1" t="str">
        <f t="shared" si="3"/>
        <v>抽屉01高速钢钻头</v>
      </c>
      <c r="H33" t="str">
        <f t="shared" si="1"/>
        <v>行号04</v>
      </c>
      <c r="I33" s="1" t="str">
        <f t="shared" si="2"/>
        <v>序号08</v>
      </c>
      <c r="J33" s="36" t="s">
        <v>620</v>
      </c>
      <c r="K33" s="39">
        <v>0</v>
      </c>
      <c r="L33" s="39">
        <v>5</v>
      </c>
      <c r="M33" s="40"/>
      <c r="N33" s="40"/>
      <c r="O33" s="32" t="s">
        <v>1235</v>
      </c>
    </row>
    <row r="34" spans="1:15" ht="15.95" customHeight="1">
      <c r="A34" s="8" t="s">
        <v>16</v>
      </c>
      <c r="B34" s="8" t="s">
        <v>16</v>
      </c>
      <c r="C34" s="10" t="s">
        <v>14</v>
      </c>
      <c r="D34" s="8" t="s">
        <v>14</v>
      </c>
      <c r="E34" s="7" t="str">
        <f t="shared" si="0"/>
        <v>02020101</v>
      </c>
      <c r="F34" s="1" t="s">
        <v>1221</v>
      </c>
      <c r="G34" s="1" t="str">
        <f>"抽屉"&amp;B34&amp;"高速钢钻头"</f>
        <v>抽屉02高速钢钻头</v>
      </c>
      <c r="H34" t="str">
        <f t="shared" si="1"/>
        <v>行号01</v>
      </c>
      <c r="I34" s="1" t="str">
        <f t="shared" si="2"/>
        <v>序号01</v>
      </c>
      <c r="J34" s="36" t="s">
        <v>621</v>
      </c>
      <c r="K34" s="39">
        <v>0</v>
      </c>
      <c r="L34" s="39">
        <v>5</v>
      </c>
      <c r="M34" s="39"/>
      <c r="N34" s="39"/>
      <c r="O34" s="32" t="s">
        <v>1235</v>
      </c>
    </row>
    <row r="35" spans="1:15" ht="15.95" customHeight="1">
      <c r="A35" s="8" t="s">
        <v>16</v>
      </c>
      <c r="B35" s="8" t="s">
        <v>16</v>
      </c>
      <c r="C35" s="10" t="s">
        <v>14</v>
      </c>
      <c r="D35" s="8" t="s">
        <v>16</v>
      </c>
      <c r="E35" s="7" t="str">
        <f t="shared" si="0"/>
        <v>02020102</v>
      </c>
      <c r="F35" s="1" t="s">
        <v>1221</v>
      </c>
      <c r="G35" s="1" t="str">
        <f t="shared" ref="G35:G65" si="4">"抽屉"&amp;B35&amp;"高速钢钻头"</f>
        <v>抽屉02高速钢钻头</v>
      </c>
      <c r="H35" t="str">
        <f t="shared" si="1"/>
        <v>行号01</v>
      </c>
      <c r="I35" s="1" t="str">
        <f t="shared" si="2"/>
        <v>序号02</v>
      </c>
      <c r="J35" s="36" t="s">
        <v>622</v>
      </c>
      <c r="K35" s="39">
        <v>0</v>
      </c>
      <c r="L35" s="39">
        <v>5</v>
      </c>
      <c r="M35" s="39"/>
      <c r="N35" s="39"/>
      <c r="O35" s="32" t="s">
        <v>1242</v>
      </c>
    </row>
    <row r="36" spans="1:15" ht="15.95" customHeight="1">
      <c r="A36" s="8" t="s">
        <v>16</v>
      </c>
      <c r="B36" s="8" t="s">
        <v>16</v>
      </c>
      <c r="C36" s="10" t="s">
        <v>14</v>
      </c>
      <c r="D36" s="8" t="s">
        <v>18</v>
      </c>
      <c r="E36" s="7" t="str">
        <f t="shared" si="0"/>
        <v>02020103</v>
      </c>
      <c r="F36" s="1" t="s">
        <v>1221</v>
      </c>
      <c r="G36" s="1" t="str">
        <f t="shared" si="4"/>
        <v>抽屉02高速钢钻头</v>
      </c>
      <c r="H36" t="str">
        <f t="shared" si="1"/>
        <v>行号01</v>
      </c>
      <c r="I36" s="1" t="str">
        <f t="shared" si="2"/>
        <v>序号03</v>
      </c>
      <c r="J36" s="36" t="s">
        <v>623</v>
      </c>
      <c r="K36" s="39">
        <v>0</v>
      </c>
      <c r="L36" s="39">
        <v>5</v>
      </c>
      <c r="M36" s="39"/>
      <c r="N36" s="39"/>
      <c r="O36" s="32" t="s">
        <v>1242</v>
      </c>
    </row>
    <row r="37" spans="1:15" ht="15.95" customHeight="1">
      <c r="A37" s="8" t="s">
        <v>16</v>
      </c>
      <c r="B37" s="8" t="s">
        <v>16</v>
      </c>
      <c r="C37" s="10" t="s">
        <v>14</v>
      </c>
      <c r="D37" s="8" t="s">
        <v>20</v>
      </c>
      <c r="E37" s="7" t="str">
        <f t="shared" si="0"/>
        <v>02020104</v>
      </c>
      <c r="F37" s="1" t="s">
        <v>1221</v>
      </c>
      <c r="G37" s="1" t="str">
        <f t="shared" si="4"/>
        <v>抽屉02高速钢钻头</v>
      </c>
      <c r="H37" t="str">
        <f t="shared" si="1"/>
        <v>行号01</v>
      </c>
      <c r="I37" s="1" t="str">
        <f t="shared" si="2"/>
        <v>序号04</v>
      </c>
      <c r="J37" s="36" t="s">
        <v>624</v>
      </c>
      <c r="K37" s="39">
        <v>0</v>
      </c>
      <c r="L37" s="39">
        <v>5</v>
      </c>
      <c r="M37" s="40"/>
      <c r="N37" s="40"/>
      <c r="O37" s="32" t="s">
        <v>1235</v>
      </c>
    </row>
    <row r="38" spans="1:15" ht="15.95" customHeight="1">
      <c r="A38" s="8" t="s">
        <v>16</v>
      </c>
      <c r="B38" s="8" t="s">
        <v>16</v>
      </c>
      <c r="C38" s="10" t="s">
        <v>14</v>
      </c>
      <c r="D38" s="8" t="s">
        <v>22</v>
      </c>
      <c r="E38" s="7" t="str">
        <f t="shared" si="0"/>
        <v>02020105</v>
      </c>
      <c r="F38" s="1" t="s">
        <v>1221</v>
      </c>
      <c r="G38" s="1" t="str">
        <f t="shared" si="4"/>
        <v>抽屉02高速钢钻头</v>
      </c>
      <c r="H38" t="str">
        <f t="shared" si="1"/>
        <v>行号01</v>
      </c>
      <c r="I38" s="1" t="str">
        <f t="shared" si="2"/>
        <v>序号05</v>
      </c>
      <c r="J38" s="36" t="s">
        <v>625</v>
      </c>
      <c r="K38" s="39">
        <v>0</v>
      </c>
      <c r="L38" s="39">
        <v>5</v>
      </c>
      <c r="M38" s="39"/>
      <c r="N38" s="39"/>
      <c r="O38" s="32" t="s">
        <v>1242</v>
      </c>
    </row>
    <row r="39" spans="1:15" ht="15.95" customHeight="1">
      <c r="A39" s="8" t="s">
        <v>16</v>
      </c>
      <c r="B39" s="8" t="s">
        <v>16</v>
      </c>
      <c r="C39" s="10" t="s">
        <v>14</v>
      </c>
      <c r="D39" s="8" t="s">
        <v>24</v>
      </c>
      <c r="E39" s="7" t="str">
        <f t="shared" si="0"/>
        <v>02020106</v>
      </c>
      <c r="F39" s="1" t="s">
        <v>1221</v>
      </c>
      <c r="G39" s="1" t="str">
        <f t="shared" si="4"/>
        <v>抽屉02高速钢钻头</v>
      </c>
      <c r="H39" t="str">
        <f t="shared" si="1"/>
        <v>行号01</v>
      </c>
      <c r="I39" s="1" t="str">
        <f t="shared" si="2"/>
        <v>序号06</v>
      </c>
      <c r="J39" s="36" t="s">
        <v>626</v>
      </c>
      <c r="K39" s="39">
        <v>0</v>
      </c>
      <c r="L39" s="39">
        <v>5</v>
      </c>
      <c r="M39" s="39"/>
      <c r="N39" s="39"/>
      <c r="O39" s="32" t="s">
        <v>1242</v>
      </c>
    </row>
    <row r="40" spans="1:15" ht="15.95" customHeight="1">
      <c r="A40" s="8" t="s">
        <v>16</v>
      </c>
      <c r="B40" s="8" t="s">
        <v>16</v>
      </c>
      <c r="C40" s="10" t="s">
        <v>14</v>
      </c>
      <c r="D40" s="8" t="s">
        <v>26</v>
      </c>
      <c r="E40" s="7" t="str">
        <f t="shared" si="0"/>
        <v>02020107</v>
      </c>
      <c r="F40" s="1" t="s">
        <v>1221</v>
      </c>
      <c r="G40" s="1" t="str">
        <f t="shared" si="4"/>
        <v>抽屉02高速钢钻头</v>
      </c>
      <c r="H40" t="str">
        <f t="shared" si="1"/>
        <v>行号01</v>
      </c>
      <c r="I40" s="1" t="str">
        <f t="shared" si="2"/>
        <v>序号07</v>
      </c>
      <c r="J40" s="36" t="s">
        <v>627</v>
      </c>
      <c r="K40" s="39">
        <v>0</v>
      </c>
      <c r="L40" s="39">
        <v>5</v>
      </c>
      <c r="M40" s="39"/>
      <c r="N40" s="39"/>
      <c r="O40" s="32" t="s">
        <v>1235</v>
      </c>
    </row>
    <row r="41" spans="1:15" ht="15.95" customHeight="1">
      <c r="A41" s="8" t="s">
        <v>16</v>
      </c>
      <c r="B41" s="8" t="s">
        <v>16</v>
      </c>
      <c r="C41" s="10" t="s">
        <v>14</v>
      </c>
      <c r="D41" s="8" t="s">
        <v>28</v>
      </c>
      <c r="E41" s="7" t="str">
        <f t="shared" si="0"/>
        <v>02020108</v>
      </c>
      <c r="F41" s="1" t="s">
        <v>1221</v>
      </c>
      <c r="G41" s="1" t="str">
        <f t="shared" si="4"/>
        <v>抽屉02高速钢钻头</v>
      </c>
      <c r="H41" t="str">
        <f t="shared" si="1"/>
        <v>行号01</v>
      </c>
      <c r="I41" s="1" t="str">
        <f t="shared" si="2"/>
        <v>序号08</v>
      </c>
      <c r="J41" s="36" t="s">
        <v>628</v>
      </c>
      <c r="K41" s="39">
        <v>0</v>
      </c>
      <c r="L41" s="39">
        <v>5</v>
      </c>
      <c r="M41" s="39"/>
      <c r="N41" s="39"/>
      <c r="O41" s="32" t="s">
        <v>1242</v>
      </c>
    </row>
    <row r="42" spans="1:15" ht="15.95" customHeight="1">
      <c r="A42" s="8" t="s">
        <v>16</v>
      </c>
      <c r="B42" s="8" t="s">
        <v>16</v>
      </c>
      <c r="C42" s="8" t="s">
        <v>16</v>
      </c>
      <c r="D42" s="11" t="s">
        <v>14</v>
      </c>
      <c r="E42" s="7" t="str">
        <f t="shared" si="0"/>
        <v>02020201</v>
      </c>
      <c r="F42" s="1" t="s">
        <v>1221</v>
      </c>
      <c r="G42" s="1" t="str">
        <f t="shared" si="4"/>
        <v>抽屉02高速钢钻头</v>
      </c>
      <c r="H42" t="str">
        <f t="shared" si="1"/>
        <v>行号02</v>
      </c>
      <c r="I42" s="1" t="str">
        <f t="shared" si="2"/>
        <v>序号01</v>
      </c>
      <c r="J42" s="36" t="s">
        <v>629</v>
      </c>
      <c r="K42" s="39">
        <v>0</v>
      </c>
      <c r="L42" s="39">
        <v>5</v>
      </c>
      <c r="M42" s="40"/>
      <c r="N42" s="40"/>
      <c r="O42" s="32" t="s">
        <v>1235</v>
      </c>
    </row>
    <row r="43" spans="1:15" ht="15.95" customHeight="1">
      <c r="A43" s="8" t="s">
        <v>16</v>
      </c>
      <c r="B43" s="8" t="s">
        <v>16</v>
      </c>
      <c r="C43" s="8" t="s">
        <v>16</v>
      </c>
      <c r="D43" s="11" t="s">
        <v>16</v>
      </c>
      <c r="E43" s="7" t="str">
        <f t="shared" si="0"/>
        <v>02020202</v>
      </c>
      <c r="F43" s="1" t="s">
        <v>1221</v>
      </c>
      <c r="G43" s="1" t="str">
        <f t="shared" si="4"/>
        <v>抽屉02高速钢钻头</v>
      </c>
      <c r="H43" t="str">
        <f t="shared" si="1"/>
        <v>行号02</v>
      </c>
      <c r="I43" s="1" t="str">
        <f t="shared" si="2"/>
        <v>序号02</v>
      </c>
      <c r="J43" s="36" t="s">
        <v>630</v>
      </c>
      <c r="K43" s="39">
        <v>0</v>
      </c>
      <c r="L43" s="39">
        <v>5</v>
      </c>
      <c r="M43" s="39"/>
      <c r="N43" s="39"/>
      <c r="O43" s="32" t="s">
        <v>1242</v>
      </c>
    </row>
    <row r="44" spans="1:15" ht="15.95" customHeight="1">
      <c r="A44" s="8" t="s">
        <v>16</v>
      </c>
      <c r="B44" s="8" t="s">
        <v>16</v>
      </c>
      <c r="C44" s="8" t="s">
        <v>16</v>
      </c>
      <c r="D44" s="11" t="s">
        <v>18</v>
      </c>
      <c r="E44" s="7" t="str">
        <f t="shared" si="0"/>
        <v>02020203</v>
      </c>
      <c r="F44" s="1" t="s">
        <v>1221</v>
      </c>
      <c r="G44" s="1" t="str">
        <f t="shared" si="4"/>
        <v>抽屉02高速钢钻头</v>
      </c>
      <c r="H44" t="str">
        <f t="shared" si="1"/>
        <v>行号02</v>
      </c>
      <c r="I44" s="1" t="str">
        <f t="shared" si="2"/>
        <v>序号03</v>
      </c>
      <c r="J44" s="36" t="s">
        <v>631</v>
      </c>
      <c r="K44" s="39">
        <v>0</v>
      </c>
      <c r="L44" s="39">
        <v>5</v>
      </c>
      <c r="M44" s="39"/>
      <c r="N44" s="39"/>
      <c r="O44" s="32" t="s">
        <v>1242</v>
      </c>
    </row>
    <row r="45" spans="1:15" ht="15.95" customHeight="1">
      <c r="A45" s="8" t="s">
        <v>16</v>
      </c>
      <c r="B45" s="8" t="s">
        <v>16</v>
      </c>
      <c r="C45" s="8" t="s">
        <v>16</v>
      </c>
      <c r="D45" s="11" t="s">
        <v>20</v>
      </c>
      <c r="E45" s="7" t="str">
        <f t="shared" si="0"/>
        <v>02020204</v>
      </c>
      <c r="F45" s="1" t="s">
        <v>1221</v>
      </c>
      <c r="G45" s="1" t="str">
        <f t="shared" si="4"/>
        <v>抽屉02高速钢钻头</v>
      </c>
      <c r="H45" t="str">
        <f t="shared" si="1"/>
        <v>行号02</v>
      </c>
      <c r="I45" s="1" t="str">
        <f t="shared" si="2"/>
        <v>序号04</v>
      </c>
      <c r="J45" s="36" t="s">
        <v>632</v>
      </c>
      <c r="K45" s="39">
        <v>0</v>
      </c>
      <c r="L45" s="39">
        <v>5</v>
      </c>
      <c r="M45" s="40"/>
      <c r="N45" s="40"/>
      <c r="O45" s="32" t="s">
        <v>1242</v>
      </c>
    </row>
    <row r="46" spans="1:15" ht="15.95" customHeight="1">
      <c r="A46" s="8" t="s">
        <v>16</v>
      </c>
      <c r="B46" s="8" t="s">
        <v>16</v>
      </c>
      <c r="C46" s="8" t="s">
        <v>16</v>
      </c>
      <c r="D46" s="11" t="s">
        <v>22</v>
      </c>
      <c r="E46" s="7" t="str">
        <f t="shared" si="0"/>
        <v>02020205</v>
      </c>
      <c r="F46" s="1" t="s">
        <v>1221</v>
      </c>
      <c r="G46" s="1" t="str">
        <f t="shared" si="4"/>
        <v>抽屉02高速钢钻头</v>
      </c>
      <c r="H46" t="str">
        <f t="shared" si="1"/>
        <v>行号02</v>
      </c>
      <c r="I46" s="1" t="str">
        <f t="shared" si="2"/>
        <v>序号05</v>
      </c>
      <c r="J46" s="36" t="s">
        <v>633</v>
      </c>
      <c r="K46" s="39">
        <v>0</v>
      </c>
      <c r="L46" s="39">
        <v>5</v>
      </c>
      <c r="M46" s="40"/>
      <c r="N46" s="40"/>
      <c r="O46" s="32" t="s">
        <v>1235</v>
      </c>
    </row>
    <row r="47" spans="1:15" ht="15.95" customHeight="1">
      <c r="A47" s="8" t="s">
        <v>16</v>
      </c>
      <c r="B47" s="8" t="s">
        <v>16</v>
      </c>
      <c r="C47" s="8" t="s">
        <v>16</v>
      </c>
      <c r="D47" s="11" t="s">
        <v>24</v>
      </c>
      <c r="E47" s="7" t="str">
        <f t="shared" si="0"/>
        <v>02020206</v>
      </c>
      <c r="F47" s="1" t="s">
        <v>1221</v>
      </c>
      <c r="G47" s="1" t="str">
        <f t="shared" si="4"/>
        <v>抽屉02高速钢钻头</v>
      </c>
      <c r="H47" t="str">
        <f t="shared" si="1"/>
        <v>行号02</v>
      </c>
      <c r="I47" s="1" t="str">
        <f t="shared" si="2"/>
        <v>序号06</v>
      </c>
      <c r="J47" s="36" t="s">
        <v>634</v>
      </c>
      <c r="K47" s="39">
        <v>0</v>
      </c>
      <c r="L47" s="39">
        <v>5</v>
      </c>
      <c r="M47" s="40"/>
      <c r="N47" s="40"/>
      <c r="O47" s="32" t="s">
        <v>1235</v>
      </c>
    </row>
    <row r="48" spans="1:15" ht="15.95" customHeight="1">
      <c r="A48" s="8" t="s">
        <v>16</v>
      </c>
      <c r="B48" s="8" t="s">
        <v>16</v>
      </c>
      <c r="C48" s="8" t="s">
        <v>16</v>
      </c>
      <c r="D48" s="11" t="s">
        <v>26</v>
      </c>
      <c r="E48" s="7" t="str">
        <f t="shared" si="0"/>
        <v>02020207</v>
      </c>
      <c r="F48" s="1" t="s">
        <v>1221</v>
      </c>
      <c r="G48" s="1" t="str">
        <f t="shared" si="4"/>
        <v>抽屉02高速钢钻头</v>
      </c>
      <c r="H48" t="str">
        <f t="shared" si="1"/>
        <v>行号02</v>
      </c>
      <c r="I48" s="1" t="str">
        <f t="shared" si="2"/>
        <v>序号07</v>
      </c>
      <c r="J48" s="36" t="s">
        <v>635</v>
      </c>
      <c r="K48" s="39"/>
      <c r="L48" s="39"/>
      <c r="M48" s="40"/>
      <c r="N48" s="40"/>
      <c r="O48" s="32" t="s">
        <v>1235</v>
      </c>
    </row>
    <row r="49" spans="1:15" ht="15.95" customHeight="1">
      <c r="A49" s="8" t="s">
        <v>16</v>
      </c>
      <c r="B49" s="8" t="s">
        <v>16</v>
      </c>
      <c r="C49" s="8" t="s">
        <v>16</v>
      </c>
      <c r="D49" s="11" t="s">
        <v>28</v>
      </c>
      <c r="E49" s="7" t="str">
        <f t="shared" si="0"/>
        <v>02020208</v>
      </c>
      <c r="F49" s="1" t="s">
        <v>1221</v>
      </c>
      <c r="G49" s="1" t="str">
        <f t="shared" si="4"/>
        <v>抽屉02高速钢钻头</v>
      </c>
      <c r="H49" t="str">
        <f t="shared" si="1"/>
        <v>行号02</v>
      </c>
      <c r="I49" s="1" t="str">
        <f t="shared" si="2"/>
        <v>序号08</v>
      </c>
      <c r="J49" s="36" t="s">
        <v>636</v>
      </c>
      <c r="K49" s="39">
        <v>0</v>
      </c>
      <c r="L49" s="39">
        <v>5</v>
      </c>
      <c r="M49" s="39"/>
      <c r="N49" s="39"/>
      <c r="O49" s="32" t="s">
        <v>1235</v>
      </c>
    </row>
    <row r="50" spans="1:15" ht="15.95" customHeight="1">
      <c r="A50" s="8" t="s">
        <v>16</v>
      </c>
      <c r="B50" s="8" t="s">
        <v>16</v>
      </c>
      <c r="C50" s="10" t="s">
        <v>18</v>
      </c>
      <c r="D50" s="8" t="s">
        <v>14</v>
      </c>
      <c r="E50" s="7" t="str">
        <f t="shared" si="0"/>
        <v>02020301</v>
      </c>
      <c r="F50" s="1" t="s">
        <v>1221</v>
      </c>
      <c r="G50" s="1" t="str">
        <f t="shared" si="4"/>
        <v>抽屉02高速钢钻头</v>
      </c>
      <c r="H50" t="str">
        <f t="shared" si="1"/>
        <v>行号03</v>
      </c>
      <c r="I50" s="1" t="str">
        <f t="shared" si="2"/>
        <v>序号01</v>
      </c>
      <c r="J50" s="36" t="s">
        <v>637</v>
      </c>
      <c r="K50" s="39">
        <v>0</v>
      </c>
      <c r="L50" s="39">
        <v>5</v>
      </c>
      <c r="M50" s="39"/>
      <c r="N50" s="39"/>
      <c r="O50" s="32" t="s">
        <v>1235</v>
      </c>
    </row>
    <row r="51" spans="1:15" ht="15.95" customHeight="1">
      <c r="A51" s="8" t="s">
        <v>16</v>
      </c>
      <c r="B51" s="8" t="s">
        <v>16</v>
      </c>
      <c r="C51" s="10" t="s">
        <v>18</v>
      </c>
      <c r="D51" s="8" t="s">
        <v>16</v>
      </c>
      <c r="E51" s="7" t="str">
        <f t="shared" si="0"/>
        <v>02020302</v>
      </c>
      <c r="F51" s="1" t="s">
        <v>1221</v>
      </c>
      <c r="G51" s="1" t="str">
        <f t="shared" si="4"/>
        <v>抽屉02高速钢钻头</v>
      </c>
      <c r="H51" t="str">
        <f t="shared" si="1"/>
        <v>行号03</v>
      </c>
      <c r="I51" s="1" t="str">
        <f t="shared" si="2"/>
        <v>序号02</v>
      </c>
      <c r="J51" s="36" t="s">
        <v>638</v>
      </c>
      <c r="K51" s="39">
        <v>0</v>
      </c>
      <c r="L51" s="39">
        <v>5</v>
      </c>
      <c r="M51" s="39"/>
      <c r="N51" s="39"/>
      <c r="O51" s="32" t="s">
        <v>1242</v>
      </c>
    </row>
    <row r="52" spans="1:15" ht="15.95" customHeight="1">
      <c r="A52" s="8" t="s">
        <v>16</v>
      </c>
      <c r="B52" s="8" t="s">
        <v>16</v>
      </c>
      <c r="C52" s="10" t="s">
        <v>18</v>
      </c>
      <c r="D52" s="8" t="s">
        <v>18</v>
      </c>
      <c r="E52" s="7" t="str">
        <f t="shared" si="0"/>
        <v>02020303</v>
      </c>
      <c r="F52" s="1" t="s">
        <v>1221</v>
      </c>
      <c r="G52" s="1" t="str">
        <f t="shared" si="4"/>
        <v>抽屉02高速钢钻头</v>
      </c>
      <c r="H52" t="str">
        <f t="shared" si="1"/>
        <v>行号03</v>
      </c>
      <c r="I52" s="1" t="str">
        <f t="shared" si="2"/>
        <v>序号03</v>
      </c>
      <c r="J52" s="36" t="s">
        <v>639</v>
      </c>
      <c r="K52" s="39">
        <v>0</v>
      </c>
      <c r="L52" s="39">
        <v>5</v>
      </c>
      <c r="M52" s="39"/>
      <c r="N52" s="39"/>
      <c r="O52" s="32" t="s">
        <v>1235</v>
      </c>
    </row>
    <row r="53" spans="1:15" ht="15.95" customHeight="1">
      <c r="A53" s="8" t="s">
        <v>16</v>
      </c>
      <c r="B53" s="8" t="s">
        <v>16</v>
      </c>
      <c r="C53" s="10" t="s">
        <v>18</v>
      </c>
      <c r="D53" s="8" t="s">
        <v>20</v>
      </c>
      <c r="E53" s="7" t="str">
        <f t="shared" si="0"/>
        <v>02020304</v>
      </c>
      <c r="F53" s="1" t="s">
        <v>1221</v>
      </c>
      <c r="G53" s="1" t="str">
        <f t="shared" si="4"/>
        <v>抽屉02高速钢钻头</v>
      </c>
      <c r="H53" t="str">
        <f t="shared" si="1"/>
        <v>行号03</v>
      </c>
      <c r="I53" s="1" t="str">
        <f t="shared" si="2"/>
        <v>序号04</v>
      </c>
      <c r="J53" s="36" t="s">
        <v>640</v>
      </c>
      <c r="K53" s="39">
        <v>0</v>
      </c>
      <c r="L53" s="39">
        <v>5</v>
      </c>
      <c r="M53" s="39"/>
      <c r="N53" s="39"/>
      <c r="O53" s="32" t="s">
        <v>1242</v>
      </c>
    </row>
    <row r="54" spans="1:15" ht="15.95" customHeight="1">
      <c r="A54" s="8" t="s">
        <v>16</v>
      </c>
      <c r="B54" s="8" t="s">
        <v>16</v>
      </c>
      <c r="C54" s="10" t="s">
        <v>18</v>
      </c>
      <c r="D54" s="8" t="s">
        <v>22</v>
      </c>
      <c r="E54" s="7" t="str">
        <f t="shared" si="0"/>
        <v>02020305</v>
      </c>
      <c r="F54" s="1" t="s">
        <v>1221</v>
      </c>
      <c r="G54" s="1" t="str">
        <f t="shared" si="4"/>
        <v>抽屉02高速钢钻头</v>
      </c>
      <c r="H54" t="str">
        <f t="shared" si="1"/>
        <v>行号03</v>
      </c>
      <c r="I54" s="1" t="str">
        <f t="shared" si="2"/>
        <v>序号05</v>
      </c>
      <c r="J54" s="36" t="s">
        <v>641</v>
      </c>
      <c r="K54" s="39">
        <v>0</v>
      </c>
      <c r="L54" s="39">
        <v>5</v>
      </c>
      <c r="M54" s="39"/>
      <c r="N54" s="39"/>
      <c r="O54" s="32" t="s">
        <v>1235</v>
      </c>
    </row>
    <row r="55" spans="1:15" ht="15.95" customHeight="1">
      <c r="A55" s="8" t="s">
        <v>16</v>
      </c>
      <c r="B55" s="8" t="s">
        <v>16</v>
      </c>
      <c r="C55" s="10" t="s">
        <v>18</v>
      </c>
      <c r="D55" s="8" t="s">
        <v>24</v>
      </c>
      <c r="E55" s="7" t="str">
        <f t="shared" si="0"/>
        <v>02020306</v>
      </c>
      <c r="F55" s="1" t="s">
        <v>1221</v>
      </c>
      <c r="G55" s="1" t="str">
        <f t="shared" si="4"/>
        <v>抽屉02高速钢钻头</v>
      </c>
      <c r="H55" t="str">
        <f t="shared" si="1"/>
        <v>行号03</v>
      </c>
      <c r="I55" s="1" t="str">
        <f t="shared" si="2"/>
        <v>序号06</v>
      </c>
      <c r="J55" s="36" t="s">
        <v>642</v>
      </c>
      <c r="K55" s="39">
        <v>0</v>
      </c>
      <c r="L55" s="39">
        <v>5</v>
      </c>
      <c r="M55" s="39"/>
      <c r="N55" s="39"/>
      <c r="O55" s="32" t="s">
        <v>1242</v>
      </c>
    </row>
    <row r="56" spans="1:15" ht="15.95" customHeight="1">
      <c r="A56" s="8" t="s">
        <v>16</v>
      </c>
      <c r="B56" s="8" t="s">
        <v>16</v>
      </c>
      <c r="C56" s="10" t="s">
        <v>18</v>
      </c>
      <c r="D56" s="8" t="s">
        <v>26</v>
      </c>
      <c r="E56" s="7" t="str">
        <f t="shared" si="0"/>
        <v>02020307</v>
      </c>
      <c r="F56" s="1" t="s">
        <v>1221</v>
      </c>
      <c r="G56" s="1" t="str">
        <f t="shared" si="4"/>
        <v>抽屉02高速钢钻头</v>
      </c>
      <c r="H56" t="str">
        <f t="shared" si="1"/>
        <v>行号03</v>
      </c>
      <c r="I56" s="1" t="str">
        <f t="shared" si="2"/>
        <v>序号07</v>
      </c>
      <c r="J56" s="36" t="s">
        <v>643</v>
      </c>
      <c r="K56" s="39">
        <v>0</v>
      </c>
      <c r="L56" s="39">
        <v>5</v>
      </c>
      <c r="M56" s="40"/>
      <c r="N56" s="40"/>
      <c r="O56" s="32" t="s">
        <v>1235</v>
      </c>
    </row>
    <row r="57" spans="1:15" ht="15.95" customHeight="1">
      <c r="A57" s="8" t="s">
        <v>16</v>
      </c>
      <c r="B57" s="8" t="s">
        <v>16</v>
      </c>
      <c r="C57" s="10" t="s">
        <v>18</v>
      </c>
      <c r="D57" s="8" t="s">
        <v>28</v>
      </c>
      <c r="E57" s="7" t="str">
        <f t="shared" si="0"/>
        <v>02020308</v>
      </c>
      <c r="F57" s="1" t="s">
        <v>1221</v>
      </c>
      <c r="G57" s="1" t="str">
        <f t="shared" si="4"/>
        <v>抽屉02高速钢钻头</v>
      </c>
      <c r="H57" t="str">
        <f t="shared" si="1"/>
        <v>行号03</v>
      </c>
      <c r="I57" s="1" t="str">
        <f t="shared" si="2"/>
        <v>序号08</v>
      </c>
      <c r="J57" s="36" t="s">
        <v>644</v>
      </c>
      <c r="K57" s="39">
        <v>0</v>
      </c>
      <c r="L57" s="39">
        <v>5</v>
      </c>
      <c r="M57" s="39"/>
      <c r="N57" s="39"/>
      <c r="O57" s="32" t="s">
        <v>1242</v>
      </c>
    </row>
    <row r="58" spans="1:15" ht="15.95" customHeight="1">
      <c r="A58" s="8" t="s">
        <v>16</v>
      </c>
      <c r="B58" s="8" t="s">
        <v>16</v>
      </c>
      <c r="C58" s="8" t="s">
        <v>20</v>
      </c>
      <c r="D58" s="11" t="s">
        <v>14</v>
      </c>
      <c r="E58" s="7" t="str">
        <f t="shared" si="0"/>
        <v>02020401</v>
      </c>
      <c r="F58" s="1" t="s">
        <v>1221</v>
      </c>
      <c r="G58" s="1" t="str">
        <f t="shared" si="4"/>
        <v>抽屉02高速钢钻头</v>
      </c>
      <c r="H58" t="str">
        <f t="shared" si="1"/>
        <v>行号04</v>
      </c>
      <c r="I58" s="1" t="str">
        <f t="shared" si="2"/>
        <v>序号01</v>
      </c>
      <c r="J58" s="36" t="s">
        <v>645</v>
      </c>
      <c r="K58" s="39">
        <v>0</v>
      </c>
      <c r="L58" s="39">
        <v>5</v>
      </c>
      <c r="M58" s="39"/>
      <c r="N58" s="39"/>
      <c r="O58" s="32" t="s">
        <v>1242</v>
      </c>
    </row>
    <row r="59" spans="1:15" ht="15.95" customHeight="1">
      <c r="A59" s="8" t="s">
        <v>16</v>
      </c>
      <c r="B59" s="8" t="s">
        <v>16</v>
      </c>
      <c r="C59" s="8" t="s">
        <v>20</v>
      </c>
      <c r="D59" s="11" t="s">
        <v>16</v>
      </c>
      <c r="E59" s="7" t="str">
        <f t="shared" si="0"/>
        <v>02020402</v>
      </c>
      <c r="F59" s="1" t="s">
        <v>1221</v>
      </c>
      <c r="G59" s="1" t="str">
        <f t="shared" si="4"/>
        <v>抽屉02高速钢钻头</v>
      </c>
      <c r="H59" t="str">
        <f t="shared" si="1"/>
        <v>行号04</v>
      </c>
      <c r="I59" s="1" t="str">
        <f t="shared" si="2"/>
        <v>序号02</v>
      </c>
      <c r="J59" s="36" t="s">
        <v>646</v>
      </c>
      <c r="K59" s="39">
        <v>0</v>
      </c>
      <c r="L59" s="39">
        <v>0</v>
      </c>
      <c r="M59" s="40"/>
      <c r="N59" s="40"/>
      <c r="O59" s="32" t="s">
        <v>1235</v>
      </c>
    </row>
    <row r="60" spans="1:15" ht="15.95" customHeight="1">
      <c r="A60" s="8" t="s">
        <v>16</v>
      </c>
      <c r="B60" s="8" t="s">
        <v>16</v>
      </c>
      <c r="C60" s="8" t="s">
        <v>20</v>
      </c>
      <c r="D60" s="11" t="s">
        <v>18</v>
      </c>
      <c r="E60" s="7" t="str">
        <f t="shared" si="0"/>
        <v>02020403</v>
      </c>
      <c r="F60" s="1" t="s">
        <v>1221</v>
      </c>
      <c r="G60" s="1" t="str">
        <f t="shared" si="4"/>
        <v>抽屉02高速钢钻头</v>
      </c>
      <c r="H60" t="str">
        <f t="shared" si="1"/>
        <v>行号04</v>
      </c>
      <c r="I60" s="1" t="str">
        <f t="shared" si="2"/>
        <v>序号03</v>
      </c>
      <c r="J60" s="36" t="s">
        <v>647</v>
      </c>
      <c r="K60" s="39">
        <v>0</v>
      </c>
      <c r="L60" s="39">
        <v>0</v>
      </c>
      <c r="M60" s="39"/>
      <c r="N60" s="39"/>
      <c r="O60" s="32" t="s">
        <v>1235</v>
      </c>
    </row>
    <row r="61" spans="1:15" ht="15.95" customHeight="1">
      <c r="A61" s="8" t="s">
        <v>16</v>
      </c>
      <c r="B61" s="8" t="s">
        <v>16</v>
      </c>
      <c r="C61" s="8" t="s">
        <v>20</v>
      </c>
      <c r="D61" s="11" t="s">
        <v>20</v>
      </c>
      <c r="E61" s="7" t="str">
        <f t="shared" si="0"/>
        <v>02020404</v>
      </c>
      <c r="F61" s="1" t="s">
        <v>1221</v>
      </c>
      <c r="G61" s="1" t="str">
        <f t="shared" si="4"/>
        <v>抽屉02高速钢钻头</v>
      </c>
      <c r="H61" t="str">
        <f t="shared" si="1"/>
        <v>行号04</v>
      </c>
      <c r="I61" s="1" t="str">
        <f t="shared" si="2"/>
        <v>序号04</v>
      </c>
      <c r="J61" s="36" t="s">
        <v>648</v>
      </c>
      <c r="K61" s="39">
        <v>0</v>
      </c>
      <c r="L61" s="39">
        <v>0</v>
      </c>
      <c r="M61" s="39"/>
      <c r="N61" s="39"/>
      <c r="O61" s="32" t="s">
        <v>1239</v>
      </c>
    </row>
    <row r="62" spans="1:15" ht="15.95" customHeight="1">
      <c r="A62" s="8" t="s">
        <v>16</v>
      </c>
      <c r="B62" s="8" t="s">
        <v>16</v>
      </c>
      <c r="C62" s="8" t="s">
        <v>20</v>
      </c>
      <c r="D62" s="11" t="s">
        <v>22</v>
      </c>
      <c r="E62" s="7" t="str">
        <f t="shared" si="0"/>
        <v>02020405</v>
      </c>
      <c r="F62" s="1" t="s">
        <v>1221</v>
      </c>
      <c r="G62" s="1" t="str">
        <f t="shared" si="4"/>
        <v>抽屉02高速钢钻头</v>
      </c>
      <c r="H62" t="str">
        <f t="shared" si="1"/>
        <v>行号04</v>
      </c>
      <c r="I62" s="1" t="str">
        <f t="shared" si="2"/>
        <v>序号05</v>
      </c>
      <c r="J62" s="36" t="s">
        <v>649</v>
      </c>
      <c r="K62" s="39">
        <v>0</v>
      </c>
      <c r="L62" s="39">
        <v>0</v>
      </c>
      <c r="M62" s="39"/>
      <c r="N62" s="39"/>
      <c r="O62" s="32" t="s">
        <v>1235</v>
      </c>
    </row>
    <row r="63" spans="1:15" ht="15.95" customHeight="1">
      <c r="A63" s="8" t="s">
        <v>16</v>
      </c>
      <c r="B63" s="8" t="s">
        <v>16</v>
      </c>
      <c r="C63" s="8" t="s">
        <v>20</v>
      </c>
      <c r="D63" s="11" t="s">
        <v>24</v>
      </c>
      <c r="E63" s="7" t="str">
        <f t="shared" si="0"/>
        <v>02020406</v>
      </c>
      <c r="F63" s="1" t="s">
        <v>1221</v>
      </c>
      <c r="G63" s="1" t="str">
        <f t="shared" si="4"/>
        <v>抽屉02高速钢钻头</v>
      </c>
      <c r="H63" t="str">
        <f t="shared" si="1"/>
        <v>行号04</v>
      </c>
      <c r="I63" s="1" t="str">
        <f t="shared" si="2"/>
        <v>序号06</v>
      </c>
      <c r="J63" s="36" t="s">
        <v>650</v>
      </c>
      <c r="K63" s="39"/>
      <c r="L63" s="39"/>
      <c r="M63" s="39"/>
      <c r="N63" s="39"/>
      <c r="O63" s="32"/>
    </row>
    <row r="64" spans="1:15" ht="15.95" customHeight="1">
      <c r="A64" s="8" t="s">
        <v>16</v>
      </c>
      <c r="B64" s="8" t="s">
        <v>16</v>
      </c>
      <c r="C64" s="8" t="s">
        <v>20</v>
      </c>
      <c r="D64" s="11" t="s">
        <v>26</v>
      </c>
      <c r="E64" s="7" t="str">
        <f t="shared" si="0"/>
        <v>02020407</v>
      </c>
      <c r="F64" s="1" t="s">
        <v>1221</v>
      </c>
      <c r="G64" s="1" t="str">
        <f>"抽屉"&amp;B64&amp;"高速钢钻头"</f>
        <v>抽屉02高速钢钻头</v>
      </c>
      <c r="H64" t="str">
        <f t="shared" si="1"/>
        <v>行号04</v>
      </c>
      <c r="I64" s="1" t="str">
        <f t="shared" si="2"/>
        <v>序号07</v>
      </c>
      <c r="J64" s="36" t="s">
        <v>651</v>
      </c>
      <c r="K64" s="39">
        <v>0</v>
      </c>
      <c r="L64" s="39">
        <v>0</v>
      </c>
      <c r="M64" s="39"/>
      <c r="N64" s="39"/>
      <c r="O64" s="32" t="s">
        <v>1235</v>
      </c>
    </row>
    <row r="65" spans="1:15" ht="15.95" customHeight="1">
      <c r="A65" s="8" t="s">
        <v>16</v>
      </c>
      <c r="B65" s="8" t="s">
        <v>16</v>
      </c>
      <c r="C65" s="8" t="s">
        <v>20</v>
      </c>
      <c r="D65" s="11" t="s">
        <v>28</v>
      </c>
      <c r="E65" s="7" t="str">
        <f t="shared" si="0"/>
        <v>02020408</v>
      </c>
      <c r="F65" s="1" t="s">
        <v>1221</v>
      </c>
      <c r="G65" s="1" t="str">
        <f t="shared" si="4"/>
        <v>抽屉02高速钢钻头</v>
      </c>
      <c r="H65" t="str">
        <f t="shared" si="1"/>
        <v>行号04</v>
      </c>
      <c r="I65" s="1" t="str">
        <f t="shared" si="2"/>
        <v>序号08</v>
      </c>
      <c r="J65" s="36" t="s">
        <v>652</v>
      </c>
      <c r="K65" s="39">
        <v>0</v>
      </c>
      <c r="L65" s="39">
        <v>0</v>
      </c>
      <c r="M65" s="39"/>
      <c r="N65" s="39"/>
      <c r="O65" s="32" t="s">
        <v>1235</v>
      </c>
    </row>
    <row r="66" spans="1:15" ht="15.95" customHeight="1">
      <c r="A66" s="8" t="s">
        <v>16</v>
      </c>
      <c r="B66" s="9" t="s">
        <v>18</v>
      </c>
      <c r="C66" s="10" t="s">
        <v>14</v>
      </c>
      <c r="D66" s="8" t="s">
        <v>14</v>
      </c>
      <c r="E66" s="7" t="str">
        <f t="shared" ref="E66:E129" si="5">A66&amp;B66&amp;C66&amp;D66</f>
        <v>02030101</v>
      </c>
      <c r="F66" s="1" t="s">
        <v>1221</v>
      </c>
      <c r="G66" s="1" t="str">
        <f>"抽屉"&amp;B66&amp;"高速钢钻头"</f>
        <v>抽屉03高速钢钻头</v>
      </c>
      <c r="H66" t="str">
        <f t="shared" ref="H66:H129" si="6">"行号"&amp;C66</f>
        <v>行号01</v>
      </c>
      <c r="I66" s="1" t="str">
        <f t="shared" ref="I66:I129" si="7">"序号"&amp;D66</f>
        <v>序号01</v>
      </c>
      <c r="J66" s="36" t="s">
        <v>653</v>
      </c>
      <c r="K66" s="39">
        <v>0</v>
      </c>
      <c r="L66" s="39">
        <v>0</v>
      </c>
      <c r="M66" s="39"/>
      <c r="N66" s="39"/>
      <c r="O66" s="32" t="s">
        <v>1235</v>
      </c>
    </row>
    <row r="67" spans="1:15" ht="15.95" customHeight="1">
      <c r="A67" s="8" t="s">
        <v>16</v>
      </c>
      <c r="B67" s="9" t="s">
        <v>18</v>
      </c>
      <c r="C67" s="10" t="s">
        <v>14</v>
      </c>
      <c r="D67" s="8" t="s">
        <v>16</v>
      </c>
      <c r="E67" s="7" t="str">
        <f t="shared" si="5"/>
        <v>02030102</v>
      </c>
      <c r="F67" s="1" t="s">
        <v>1221</v>
      </c>
      <c r="G67" s="1" t="str">
        <f t="shared" ref="G67:G97" si="8">"抽屉"&amp;B67&amp;"高速钢钻头"</f>
        <v>抽屉03高速钢钻头</v>
      </c>
      <c r="H67" t="str">
        <f t="shared" si="6"/>
        <v>行号01</v>
      </c>
      <c r="I67" s="1" t="str">
        <f t="shared" si="7"/>
        <v>序号02</v>
      </c>
      <c r="J67" s="36" t="s">
        <v>654</v>
      </c>
      <c r="K67" s="39">
        <v>0</v>
      </c>
      <c r="L67" s="39">
        <v>0</v>
      </c>
      <c r="M67" s="39"/>
      <c r="N67" s="39"/>
      <c r="O67" s="32" t="s">
        <v>1235</v>
      </c>
    </row>
    <row r="68" spans="1:15" ht="15.95" customHeight="1">
      <c r="A68" s="8" t="s">
        <v>16</v>
      </c>
      <c r="B68" s="9" t="s">
        <v>18</v>
      </c>
      <c r="C68" s="10" t="s">
        <v>14</v>
      </c>
      <c r="D68" s="8" t="s">
        <v>18</v>
      </c>
      <c r="E68" s="7" t="str">
        <f t="shared" si="5"/>
        <v>02030103</v>
      </c>
      <c r="F68" s="1" t="s">
        <v>1221</v>
      </c>
      <c r="G68" s="1" t="str">
        <f t="shared" si="8"/>
        <v>抽屉03高速钢钻头</v>
      </c>
      <c r="H68" t="str">
        <f t="shared" si="6"/>
        <v>行号01</v>
      </c>
      <c r="I68" s="1" t="str">
        <f t="shared" si="7"/>
        <v>序号03</v>
      </c>
      <c r="J68" s="36" t="s">
        <v>655</v>
      </c>
      <c r="K68" s="39">
        <v>0</v>
      </c>
      <c r="L68" s="39">
        <v>0</v>
      </c>
      <c r="M68" s="39"/>
      <c r="N68" s="39"/>
      <c r="O68" s="32" t="s">
        <v>1235</v>
      </c>
    </row>
    <row r="69" spans="1:15" ht="15.95" customHeight="1">
      <c r="A69" s="8" t="s">
        <v>16</v>
      </c>
      <c r="B69" s="9" t="s">
        <v>18</v>
      </c>
      <c r="C69" s="10" t="s">
        <v>14</v>
      </c>
      <c r="D69" s="8" t="s">
        <v>20</v>
      </c>
      <c r="E69" s="7" t="str">
        <f t="shared" si="5"/>
        <v>02030104</v>
      </c>
      <c r="F69" s="1" t="s">
        <v>1221</v>
      </c>
      <c r="G69" s="1" t="str">
        <f t="shared" si="8"/>
        <v>抽屉03高速钢钻头</v>
      </c>
      <c r="H69" t="str">
        <f t="shared" si="6"/>
        <v>行号01</v>
      </c>
      <c r="I69" s="1" t="str">
        <f t="shared" si="7"/>
        <v>序号04</v>
      </c>
      <c r="J69" s="36" t="s">
        <v>656</v>
      </c>
      <c r="K69" s="39">
        <v>0</v>
      </c>
      <c r="L69" s="39">
        <v>0</v>
      </c>
      <c r="M69" s="39"/>
      <c r="N69" s="39"/>
      <c r="O69" s="32" t="s">
        <v>1235</v>
      </c>
    </row>
    <row r="70" spans="1:15" ht="15.95" customHeight="1">
      <c r="A70" s="8" t="s">
        <v>16</v>
      </c>
      <c r="B70" s="9" t="s">
        <v>18</v>
      </c>
      <c r="C70" s="10" t="s">
        <v>14</v>
      </c>
      <c r="D70" s="8" t="s">
        <v>22</v>
      </c>
      <c r="E70" s="7" t="str">
        <f t="shared" si="5"/>
        <v>02030105</v>
      </c>
      <c r="F70" s="1" t="s">
        <v>1221</v>
      </c>
      <c r="G70" s="1" t="str">
        <f t="shared" si="8"/>
        <v>抽屉03高速钢钻头</v>
      </c>
      <c r="H70" t="str">
        <f t="shared" si="6"/>
        <v>行号01</v>
      </c>
      <c r="I70" s="1" t="str">
        <f t="shared" si="7"/>
        <v>序号05</v>
      </c>
      <c r="J70" s="36" t="s">
        <v>657</v>
      </c>
      <c r="K70" s="39">
        <v>0</v>
      </c>
      <c r="L70" s="39">
        <v>0</v>
      </c>
      <c r="M70" s="39"/>
      <c r="N70" s="39"/>
      <c r="O70" s="32" t="s">
        <v>1235</v>
      </c>
    </row>
    <row r="71" spans="1:15" ht="15.95" customHeight="1">
      <c r="A71" s="8" t="s">
        <v>16</v>
      </c>
      <c r="B71" s="9" t="s">
        <v>18</v>
      </c>
      <c r="C71" s="10" t="s">
        <v>14</v>
      </c>
      <c r="D71" s="8" t="s">
        <v>24</v>
      </c>
      <c r="E71" s="7" t="str">
        <f t="shared" si="5"/>
        <v>02030106</v>
      </c>
      <c r="F71" s="1" t="s">
        <v>1221</v>
      </c>
      <c r="G71" s="1" t="str">
        <f t="shared" si="8"/>
        <v>抽屉03高速钢钻头</v>
      </c>
      <c r="H71" t="str">
        <f t="shared" si="6"/>
        <v>行号01</v>
      </c>
      <c r="I71" s="1" t="str">
        <f t="shared" si="7"/>
        <v>序号06</v>
      </c>
      <c r="J71" s="36" t="s">
        <v>658</v>
      </c>
      <c r="K71" s="39">
        <v>0</v>
      </c>
      <c r="L71" s="39">
        <v>0</v>
      </c>
      <c r="M71" s="39"/>
      <c r="N71" s="39"/>
      <c r="O71" s="32" t="s">
        <v>1235</v>
      </c>
    </row>
    <row r="72" spans="1:15" ht="15.95" customHeight="1">
      <c r="A72" s="8" t="s">
        <v>16</v>
      </c>
      <c r="B72" s="9" t="s">
        <v>18</v>
      </c>
      <c r="C72" s="10" t="s">
        <v>14</v>
      </c>
      <c r="D72" s="8" t="s">
        <v>26</v>
      </c>
      <c r="E72" s="7" t="str">
        <f t="shared" si="5"/>
        <v>02030107</v>
      </c>
      <c r="F72" s="1" t="s">
        <v>1221</v>
      </c>
      <c r="G72" s="1" t="str">
        <f t="shared" si="8"/>
        <v>抽屉03高速钢钻头</v>
      </c>
      <c r="H72" t="str">
        <f t="shared" si="6"/>
        <v>行号01</v>
      </c>
      <c r="I72" s="1" t="str">
        <f t="shared" si="7"/>
        <v>序号07</v>
      </c>
      <c r="J72" s="36" t="s">
        <v>659</v>
      </c>
      <c r="K72" s="39">
        <v>0</v>
      </c>
      <c r="L72" s="39">
        <v>0</v>
      </c>
      <c r="M72" s="39"/>
      <c r="N72" s="39"/>
      <c r="O72" s="32" t="s">
        <v>1235</v>
      </c>
    </row>
    <row r="73" spans="1:15" ht="15.95" customHeight="1">
      <c r="A73" s="8" t="s">
        <v>16</v>
      </c>
      <c r="B73" s="9" t="s">
        <v>18</v>
      </c>
      <c r="C73" s="10" t="s">
        <v>14</v>
      </c>
      <c r="D73" s="8" t="s">
        <v>28</v>
      </c>
      <c r="E73" s="7" t="str">
        <f t="shared" si="5"/>
        <v>02030108</v>
      </c>
      <c r="F73" s="1" t="s">
        <v>1221</v>
      </c>
      <c r="G73" s="1" t="str">
        <f t="shared" si="8"/>
        <v>抽屉03高速钢钻头</v>
      </c>
      <c r="H73" t="str">
        <f t="shared" si="6"/>
        <v>行号01</v>
      </c>
      <c r="I73" s="1" t="str">
        <f t="shared" si="7"/>
        <v>序号08</v>
      </c>
      <c r="J73" s="36" t="s">
        <v>660</v>
      </c>
      <c r="K73" s="39">
        <v>0</v>
      </c>
      <c r="L73" s="39">
        <v>0</v>
      </c>
      <c r="M73" s="39"/>
      <c r="N73" s="39"/>
      <c r="O73" s="32" t="s">
        <v>1235</v>
      </c>
    </row>
    <row r="74" spans="1:15">
      <c r="A74" s="8" t="s">
        <v>16</v>
      </c>
      <c r="B74" s="9" t="s">
        <v>18</v>
      </c>
      <c r="C74" s="8" t="s">
        <v>16</v>
      </c>
      <c r="D74" s="11" t="s">
        <v>14</v>
      </c>
      <c r="E74" s="7" t="str">
        <f t="shared" si="5"/>
        <v>02030201</v>
      </c>
      <c r="F74" s="1" t="s">
        <v>1221</v>
      </c>
      <c r="G74" s="1" t="str">
        <f t="shared" si="8"/>
        <v>抽屉03高速钢钻头</v>
      </c>
      <c r="H74" t="str">
        <f t="shared" si="6"/>
        <v>行号02</v>
      </c>
      <c r="I74" s="1" t="str">
        <f t="shared" si="7"/>
        <v>序号01</v>
      </c>
      <c r="J74" s="36" t="s">
        <v>661</v>
      </c>
      <c r="K74" s="39">
        <v>0</v>
      </c>
      <c r="L74" s="39">
        <v>0</v>
      </c>
      <c r="M74" s="39"/>
      <c r="N74" s="39"/>
      <c r="O74" s="32" t="s">
        <v>1235</v>
      </c>
    </row>
    <row r="75" spans="1:15">
      <c r="A75" s="8" t="s">
        <v>16</v>
      </c>
      <c r="B75" s="9" t="s">
        <v>18</v>
      </c>
      <c r="C75" s="8" t="s">
        <v>16</v>
      </c>
      <c r="D75" s="11" t="s">
        <v>16</v>
      </c>
      <c r="E75" s="7" t="str">
        <f t="shared" si="5"/>
        <v>02030202</v>
      </c>
      <c r="F75" s="1" t="s">
        <v>1221</v>
      </c>
      <c r="G75" s="1" t="str">
        <f t="shared" si="8"/>
        <v>抽屉03高速钢钻头</v>
      </c>
      <c r="H75" t="str">
        <f t="shared" si="6"/>
        <v>行号02</v>
      </c>
      <c r="I75" s="1" t="str">
        <f t="shared" si="7"/>
        <v>序号02</v>
      </c>
      <c r="J75" s="36" t="s">
        <v>493</v>
      </c>
      <c r="K75" s="39">
        <v>0</v>
      </c>
      <c r="L75" s="39">
        <v>0</v>
      </c>
      <c r="M75" s="39"/>
      <c r="N75" s="39"/>
      <c r="O75" s="32" t="s">
        <v>1235</v>
      </c>
    </row>
    <row r="76" spans="1:15">
      <c r="A76" s="8" t="s">
        <v>16</v>
      </c>
      <c r="B76" s="9" t="s">
        <v>18</v>
      </c>
      <c r="C76" s="8" t="s">
        <v>16</v>
      </c>
      <c r="D76" s="11" t="s">
        <v>18</v>
      </c>
      <c r="E76" s="7" t="str">
        <f t="shared" si="5"/>
        <v>02030203</v>
      </c>
      <c r="F76" s="1" t="s">
        <v>1221</v>
      </c>
      <c r="G76" s="1" t="str">
        <f t="shared" si="8"/>
        <v>抽屉03高速钢钻头</v>
      </c>
      <c r="H76" t="str">
        <f t="shared" si="6"/>
        <v>行号02</v>
      </c>
      <c r="I76" s="1" t="str">
        <f t="shared" si="7"/>
        <v>序号03</v>
      </c>
      <c r="J76" s="36"/>
      <c r="K76" s="39"/>
      <c r="L76" s="39"/>
      <c r="M76" s="39"/>
      <c r="N76" s="39"/>
      <c r="O76" s="32" t="s">
        <v>1235</v>
      </c>
    </row>
    <row r="77" spans="1:15">
      <c r="A77" s="8" t="s">
        <v>16</v>
      </c>
      <c r="B77" s="9" t="s">
        <v>18</v>
      </c>
      <c r="C77" s="8" t="s">
        <v>16</v>
      </c>
      <c r="D77" s="11" t="s">
        <v>20</v>
      </c>
      <c r="E77" s="7" t="str">
        <f t="shared" si="5"/>
        <v>02030204</v>
      </c>
      <c r="F77" s="1" t="s">
        <v>1221</v>
      </c>
      <c r="G77" s="1" t="str">
        <f t="shared" si="8"/>
        <v>抽屉03高速钢钻头</v>
      </c>
      <c r="H77" t="str">
        <f t="shared" si="6"/>
        <v>行号02</v>
      </c>
      <c r="I77" s="1" t="str">
        <f t="shared" si="7"/>
        <v>序号04</v>
      </c>
      <c r="J77" s="36" t="s">
        <v>662</v>
      </c>
      <c r="K77" s="39">
        <v>0</v>
      </c>
      <c r="L77" s="39">
        <v>0</v>
      </c>
      <c r="M77" s="39"/>
      <c r="N77" s="39"/>
      <c r="O77" s="32" t="s">
        <v>1235</v>
      </c>
    </row>
    <row r="78" spans="1:15">
      <c r="A78" s="8" t="s">
        <v>16</v>
      </c>
      <c r="B78" s="9" t="s">
        <v>18</v>
      </c>
      <c r="C78" s="8" t="s">
        <v>16</v>
      </c>
      <c r="D78" s="11" t="s">
        <v>22</v>
      </c>
      <c r="E78" s="7" t="str">
        <f t="shared" si="5"/>
        <v>02030205</v>
      </c>
      <c r="F78" s="1" t="s">
        <v>1221</v>
      </c>
      <c r="G78" s="1" t="str">
        <f t="shared" si="8"/>
        <v>抽屉03高速钢钻头</v>
      </c>
      <c r="H78" t="str">
        <f t="shared" si="6"/>
        <v>行号02</v>
      </c>
      <c r="I78" s="1" t="str">
        <f t="shared" si="7"/>
        <v>序号05</v>
      </c>
      <c r="J78" s="36" t="s">
        <v>663</v>
      </c>
      <c r="K78" s="39">
        <v>0</v>
      </c>
      <c r="L78" s="39">
        <v>0</v>
      </c>
      <c r="M78" s="39"/>
      <c r="N78" s="39"/>
      <c r="O78" s="32" t="s">
        <v>1235</v>
      </c>
    </row>
    <row r="79" spans="1:15">
      <c r="A79" s="8" t="s">
        <v>16</v>
      </c>
      <c r="B79" s="9" t="s">
        <v>18</v>
      </c>
      <c r="C79" s="8" t="s">
        <v>16</v>
      </c>
      <c r="D79" s="11" t="s">
        <v>24</v>
      </c>
      <c r="E79" s="7" t="str">
        <f t="shared" si="5"/>
        <v>02030206</v>
      </c>
      <c r="F79" s="1" t="s">
        <v>1221</v>
      </c>
      <c r="G79" s="1" t="str">
        <f t="shared" si="8"/>
        <v>抽屉03高速钢钻头</v>
      </c>
      <c r="H79" t="str">
        <f t="shared" si="6"/>
        <v>行号02</v>
      </c>
      <c r="I79" s="1" t="str">
        <f t="shared" si="7"/>
        <v>序号06</v>
      </c>
      <c r="J79" s="36" t="s">
        <v>664</v>
      </c>
      <c r="K79" s="39">
        <v>0</v>
      </c>
      <c r="L79" s="39">
        <v>0</v>
      </c>
      <c r="M79" s="40"/>
      <c r="N79" s="40"/>
      <c r="O79" s="32" t="s">
        <v>1235</v>
      </c>
    </row>
    <row r="80" spans="1:15">
      <c r="A80" s="8" t="s">
        <v>16</v>
      </c>
      <c r="B80" s="9" t="s">
        <v>18</v>
      </c>
      <c r="C80" s="8" t="s">
        <v>16</v>
      </c>
      <c r="D80" s="11" t="s">
        <v>26</v>
      </c>
      <c r="E80" s="7" t="str">
        <f t="shared" si="5"/>
        <v>02030207</v>
      </c>
      <c r="F80" s="1" t="s">
        <v>1221</v>
      </c>
      <c r="G80" s="1" t="str">
        <f t="shared" si="8"/>
        <v>抽屉03高速钢钻头</v>
      </c>
      <c r="H80" t="str">
        <f t="shared" si="6"/>
        <v>行号02</v>
      </c>
      <c r="I80" s="1" t="str">
        <f t="shared" si="7"/>
        <v>序号07</v>
      </c>
      <c r="J80" s="36" t="s">
        <v>665</v>
      </c>
      <c r="K80" s="39">
        <v>0</v>
      </c>
      <c r="L80" s="39">
        <v>0</v>
      </c>
      <c r="M80" s="40"/>
      <c r="N80" s="40"/>
      <c r="O80" s="32" t="s">
        <v>1235</v>
      </c>
    </row>
    <row r="81" spans="1:15">
      <c r="A81" s="8" t="s">
        <v>16</v>
      </c>
      <c r="B81" s="9" t="s">
        <v>18</v>
      </c>
      <c r="C81" s="8" t="s">
        <v>16</v>
      </c>
      <c r="D81" s="11" t="s">
        <v>28</v>
      </c>
      <c r="E81" s="7" t="str">
        <f t="shared" si="5"/>
        <v>02030208</v>
      </c>
      <c r="F81" s="1" t="s">
        <v>1221</v>
      </c>
      <c r="G81" s="1" t="str">
        <f t="shared" si="8"/>
        <v>抽屉03高速钢钻头</v>
      </c>
      <c r="H81" t="str">
        <f t="shared" si="6"/>
        <v>行号02</v>
      </c>
      <c r="I81" s="1" t="str">
        <f t="shared" si="7"/>
        <v>序号08</v>
      </c>
      <c r="J81" s="36" t="s">
        <v>666</v>
      </c>
      <c r="K81" s="39">
        <v>0</v>
      </c>
      <c r="L81" s="39">
        <v>0</v>
      </c>
      <c r="M81" s="39"/>
      <c r="N81" s="39"/>
      <c r="O81" s="32" t="s">
        <v>1235</v>
      </c>
    </row>
    <row r="82" spans="1:15">
      <c r="A82" s="8" t="s">
        <v>16</v>
      </c>
      <c r="B82" s="9" t="s">
        <v>18</v>
      </c>
      <c r="C82" s="10" t="s">
        <v>18</v>
      </c>
      <c r="D82" s="8" t="s">
        <v>14</v>
      </c>
      <c r="E82" s="7" t="str">
        <f t="shared" si="5"/>
        <v>02030301</v>
      </c>
      <c r="F82" s="1" t="s">
        <v>1221</v>
      </c>
      <c r="G82" s="1" t="str">
        <f t="shared" si="8"/>
        <v>抽屉03高速钢钻头</v>
      </c>
      <c r="H82" t="str">
        <f t="shared" si="6"/>
        <v>行号03</v>
      </c>
      <c r="I82" s="1" t="str">
        <f t="shared" si="7"/>
        <v>序号01</v>
      </c>
      <c r="J82" s="36" t="s">
        <v>667</v>
      </c>
      <c r="K82" s="39">
        <v>0</v>
      </c>
      <c r="L82" s="39">
        <v>0</v>
      </c>
      <c r="M82" s="39"/>
      <c r="N82" s="39"/>
      <c r="O82" s="32" t="s">
        <v>1235</v>
      </c>
    </row>
    <row r="83" spans="1:15">
      <c r="A83" s="8" t="s">
        <v>16</v>
      </c>
      <c r="B83" s="9" t="s">
        <v>18</v>
      </c>
      <c r="C83" s="10" t="s">
        <v>18</v>
      </c>
      <c r="D83" s="8" t="s">
        <v>16</v>
      </c>
      <c r="E83" s="7" t="str">
        <f t="shared" si="5"/>
        <v>02030302</v>
      </c>
      <c r="F83" s="1" t="s">
        <v>1221</v>
      </c>
      <c r="G83" s="1" t="str">
        <f t="shared" si="8"/>
        <v>抽屉03高速钢钻头</v>
      </c>
      <c r="H83" t="str">
        <f t="shared" si="6"/>
        <v>行号03</v>
      </c>
      <c r="I83" s="1" t="str">
        <f t="shared" si="7"/>
        <v>序号02</v>
      </c>
      <c r="J83" s="36" t="s">
        <v>668</v>
      </c>
      <c r="K83" s="39">
        <v>0</v>
      </c>
      <c r="L83" s="39">
        <v>0</v>
      </c>
      <c r="M83" s="39"/>
      <c r="N83" s="39"/>
      <c r="O83" s="32" t="s">
        <v>1235</v>
      </c>
    </row>
    <row r="84" spans="1:15">
      <c r="A84" s="8" t="s">
        <v>16</v>
      </c>
      <c r="B84" s="9" t="s">
        <v>18</v>
      </c>
      <c r="C84" s="10" t="s">
        <v>18</v>
      </c>
      <c r="D84" s="8" t="s">
        <v>18</v>
      </c>
      <c r="E84" s="7" t="str">
        <f t="shared" si="5"/>
        <v>02030303</v>
      </c>
      <c r="F84" s="1" t="s">
        <v>1221</v>
      </c>
      <c r="G84" s="1" t="str">
        <f t="shared" si="8"/>
        <v>抽屉03高速钢钻头</v>
      </c>
      <c r="H84" t="str">
        <f t="shared" si="6"/>
        <v>行号03</v>
      </c>
      <c r="I84" s="1" t="str">
        <f t="shared" si="7"/>
        <v>序号03</v>
      </c>
      <c r="J84" s="36" t="s">
        <v>669</v>
      </c>
      <c r="K84" s="39">
        <v>0</v>
      </c>
      <c r="L84" s="39">
        <v>0</v>
      </c>
      <c r="M84" s="39"/>
      <c r="N84" s="39"/>
      <c r="O84" s="32" t="s">
        <v>1235</v>
      </c>
    </row>
    <row r="85" spans="1:15">
      <c r="A85" s="8" t="s">
        <v>16</v>
      </c>
      <c r="B85" s="9" t="s">
        <v>18</v>
      </c>
      <c r="C85" s="10" t="s">
        <v>18</v>
      </c>
      <c r="D85" s="8" t="s">
        <v>20</v>
      </c>
      <c r="E85" s="7" t="str">
        <f t="shared" si="5"/>
        <v>02030304</v>
      </c>
      <c r="F85" s="1" t="s">
        <v>1221</v>
      </c>
      <c r="G85" s="1" t="str">
        <f t="shared" si="8"/>
        <v>抽屉03高速钢钻头</v>
      </c>
      <c r="H85" t="str">
        <f t="shared" si="6"/>
        <v>行号03</v>
      </c>
      <c r="I85" s="1" t="str">
        <f t="shared" si="7"/>
        <v>序号04</v>
      </c>
      <c r="J85" s="36" t="s">
        <v>670</v>
      </c>
      <c r="K85" s="39">
        <v>0</v>
      </c>
      <c r="L85" s="39">
        <v>0</v>
      </c>
      <c r="M85" s="39"/>
      <c r="N85" s="39"/>
      <c r="O85" s="32" t="s">
        <v>1235</v>
      </c>
    </row>
    <row r="86" spans="1:15">
      <c r="A86" s="8" t="s">
        <v>16</v>
      </c>
      <c r="B86" s="9" t="s">
        <v>18</v>
      </c>
      <c r="C86" s="10" t="s">
        <v>18</v>
      </c>
      <c r="D86" s="8" t="s">
        <v>22</v>
      </c>
      <c r="E86" s="7" t="str">
        <f t="shared" si="5"/>
        <v>02030305</v>
      </c>
      <c r="F86" s="1" t="s">
        <v>1221</v>
      </c>
      <c r="G86" s="1" t="str">
        <f t="shared" si="8"/>
        <v>抽屉03高速钢钻头</v>
      </c>
      <c r="H86" t="str">
        <f t="shared" si="6"/>
        <v>行号03</v>
      </c>
      <c r="I86" s="1" t="str">
        <f t="shared" si="7"/>
        <v>序号05</v>
      </c>
      <c r="J86" s="36" t="s">
        <v>671</v>
      </c>
      <c r="K86" s="39">
        <v>0</v>
      </c>
      <c r="L86" s="39">
        <v>0</v>
      </c>
      <c r="M86" s="39"/>
      <c r="N86" s="39"/>
      <c r="O86" s="32" t="s">
        <v>1235</v>
      </c>
    </row>
    <row r="87" spans="1:15">
      <c r="A87" s="8" t="s">
        <v>16</v>
      </c>
      <c r="B87" s="9" t="s">
        <v>18</v>
      </c>
      <c r="C87" s="10" t="s">
        <v>18</v>
      </c>
      <c r="D87" s="8" t="s">
        <v>24</v>
      </c>
      <c r="E87" s="7" t="str">
        <f t="shared" si="5"/>
        <v>02030306</v>
      </c>
      <c r="F87" s="1" t="s">
        <v>1221</v>
      </c>
      <c r="G87" s="1" t="str">
        <f t="shared" si="8"/>
        <v>抽屉03高速钢钻头</v>
      </c>
      <c r="H87" t="str">
        <f t="shared" si="6"/>
        <v>行号03</v>
      </c>
      <c r="I87" s="1" t="str">
        <f t="shared" si="7"/>
        <v>序号06</v>
      </c>
      <c r="J87" s="36" t="s">
        <v>672</v>
      </c>
      <c r="K87" s="39">
        <v>0</v>
      </c>
      <c r="L87" s="39">
        <v>0</v>
      </c>
      <c r="M87" s="39"/>
      <c r="N87" s="39"/>
      <c r="O87" s="32" t="s">
        <v>1235</v>
      </c>
    </row>
    <row r="88" spans="1:15">
      <c r="A88" s="8" t="s">
        <v>16</v>
      </c>
      <c r="B88" s="9" t="s">
        <v>18</v>
      </c>
      <c r="C88" s="10" t="s">
        <v>18</v>
      </c>
      <c r="D88" s="8" t="s">
        <v>26</v>
      </c>
      <c r="E88" s="7" t="str">
        <f t="shared" si="5"/>
        <v>02030307</v>
      </c>
      <c r="F88" s="1" t="s">
        <v>1221</v>
      </c>
      <c r="G88" s="1" t="str">
        <f t="shared" si="8"/>
        <v>抽屉03高速钢钻头</v>
      </c>
      <c r="H88" t="str">
        <f t="shared" si="6"/>
        <v>行号03</v>
      </c>
      <c r="I88" s="1" t="str">
        <f t="shared" si="7"/>
        <v>序号07</v>
      </c>
      <c r="J88" s="36" t="s">
        <v>673</v>
      </c>
      <c r="K88" s="39">
        <v>0</v>
      </c>
      <c r="L88" s="39">
        <v>0</v>
      </c>
      <c r="M88" s="40"/>
      <c r="N88" s="40"/>
      <c r="O88" s="32" t="s">
        <v>1235</v>
      </c>
    </row>
    <row r="89" spans="1:15">
      <c r="A89" s="8" t="s">
        <v>16</v>
      </c>
      <c r="B89" s="9" t="s">
        <v>18</v>
      </c>
      <c r="C89" s="10" t="s">
        <v>18</v>
      </c>
      <c r="D89" s="8" t="s">
        <v>28</v>
      </c>
      <c r="E89" s="7" t="str">
        <f t="shared" si="5"/>
        <v>02030308</v>
      </c>
      <c r="F89" s="1" t="s">
        <v>1221</v>
      </c>
      <c r="G89" s="1" t="str">
        <f t="shared" si="8"/>
        <v>抽屉03高速钢钻头</v>
      </c>
      <c r="H89" t="str">
        <f t="shared" si="6"/>
        <v>行号03</v>
      </c>
      <c r="I89" s="1" t="str">
        <f t="shared" si="7"/>
        <v>序号08</v>
      </c>
      <c r="J89" s="36" t="s">
        <v>674</v>
      </c>
      <c r="K89" s="39">
        <v>0</v>
      </c>
      <c r="L89" s="39">
        <v>0</v>
      </c>
      <c r="M89" s="39"/>
      <c r="N89" s="39"/>
      <c r="O89" s="32" t="s">
        <v>1235</v>
      </c>
    </row>
    <row r="90" spans="1:15">
      <c r="A90" s="8" t="s">
        <v>16</v>
      </c>
      <c r="B90" s="9" t="s">
        <v>18</v>
      </c>
      <c r="C90" s="8" t="s">
        <v>20</v>
      </c>
      <c r="D90" s="11" t="s">
        <v>14</v>
      </c>
      <c r="E90" s="7" t="str">
        <f t="shared" si="5"/>
        <v>02030401</v>
      </c>
      <c r="F90" s="1" t="s">
        <v>1221</v>
      </c>
      <c r="G90" s="1" t="str">
        <f t="shared" si="8"/>
        <v>抽屉03高速钢钻头</v>
      </c>
      <c r="H90" t="str">
        <f t="shared" si="6"/>
        <v>行号04</v>
      </c>
      <c r="I90" s="1" t="str">
        <f t="shared" si="7"/>
        <v>序号01</v>
      </c>
      <c r="J90" s="36" t="s">
        <v>675</v>
      </c>
      <c r="K90" s="39">
        <v>0</v>
      </c>
      <c r="L90" s="39">
        <v>0</v>
      </c>
      <c r="M90" s="39"/>
      <c r="N90" s="39"/>
      <c r="O90" s="32" t="s">
        <v>1235</v>
      </c>
    </row>
    <row r="91" spans="1:15">
      <c r="A91" s="8" t="s">
        <v>16</v>
      </c>
      <c r="B91" s="9" t="s">
        <v>18</v>
      </c>
      <c r="C91" s="8" t="s">
        <v>20</v>
      </c>
      <c r="D91" s="11" t="s">
        <v>16</v>
      </c>
      <c r="E91" s="7" t="str">
        <f t="shared" si="5"/>
        <v>02030402</v>
      </c>
      <c r="F91" s="1" t="s">
        <v>1221</v>
      </c>
      <c r="G91" s="1" t="str">
        <f t="shared" si="8"/>
        <v>抽屉03高速钢钻头</v>
      </c>
      <c r="H91" t="str">
        <f t="shared" si="6"/>
        <v>行号04</v>
      </c>
      <c r="I91" s="1" t="str">
        <f t="shared" si="7"/>
        <v>序号02</v>
      </c>
      <c r="J91" s="36" t="s">
        <v>676</v>
      </c>
      <c r="K91" s="39">
        <v>0</v>
      </c>
      <c r="L91" s="39">
        <v>0</v>
      </c>
      <c r="M91" s="39"/>
      <c r="N91" s="39"/>
      <c r="O91" s="32" t="s">
        <v>1235</v>
      </c>
    </row>
    <row r="92" spans="1:15">
      <c r="A92" s="8" t="s">
        <v>16</v>
      </c>
      <c r="B92" s="9" t="s">
        <v>18</v>
      </c>
      <c r="C92" s="8" t="s">
        <v>20</v>
      </c>
      <c r="D92" s="11" t="s">
        <v>18</v>
      </c>
      <c r="E92" s="7" t="str">
        <f t="shared" si="5"/>
        <v>02030403</v>
      </c>
      <c r="F92" s="1" t="s">
        <v>1221</v>
      </c>
      <c r="G92" s="1" t="str">
        <f t="shared" si="8"/>
        <v>抽屉03高速钢钻头</v>
      </c>
      <c r="H92" t="str">
        <f t="shared" si="6"/>
        <v>行号04</v>
      </c>
      <c r="I92" s="1" t="str">
        <f t="shared" si="7"/>
        <v>序号03</v>
      </c>
      <c r="J92" s="36" t="s">
        <v>677</v>
      </c>
      <c r="K92" s="39">
        <v>0</v>
      </c>
      <c r="L92" s="39">
        <v>0</v>
      </c>
      <c r="M92" s="39"/>
      <c r="N92" s="39"/>
      <c r="O92" s="32" t="s">
        <v>1235</v>
      </c>
    </row>
    <row r="93" spans="1:15">
      <c r="A93" s="8" t="s">
        <v>16</v>
      </c>
      <c r="B93" s="9" t="s">
        <v>18</v>
      </c>
      <c r="C93" s="8" t="s">
        <v>20</v>
      </c>
      <c r="D93" s="11" t="s">
        <v>20</v>
      </c>
      <c r="E93" s="7" t="str">
        <f t="shared" si="5"/>
        <v>02030404</v>
      </c>
      <c r="F93" s="1" t="s">
        <v>1221</v>
      </c>
      <c r="G93" s="1" t="str">
        <f t="shared" si="8"/>
        <v>抽屉03高速钢钻头</v>
      </c>
      <c r="H93" t="str">
        <f t="shared" si="6"/>
        <v>行号04</v>
      </c>
      <c r="I93" s="1" t="str">
        <f t="shared" si="7"/>
        <v>序号04</v>
      </c>
      <c r="J93" s="36" t="s">
        <v>678</v>
      </c>
      <c r="K93" s="39">
        <v>0</v>
      </c>
      <c r="L93" s="39">
        <v>0</v>
      </c>
      <c r="M93" s="39"/>
      <c r="N93" s="39"/>
      <c r="O93" s="32" t="s">
        <v>1242</v>
      </c>
    </row>
    <row r="94" spans="1:15">
      <c r="A94" s="8" t="s">
        <v>16</v>
      </c>
      <c r="B94" s="9" t="s">
        <v>18</v>
      </c>
      <c r="C94" s="8" t="s">
        <v>20</v>
      </c>
      <c r="D94" s="11" t="s">
        <v>22</v>
      </c>
      <c r="E94" s="7" t="str">
        <f t="shared" si="5"/>
        <v>02030405</v>
      </c>
      <c r="F94" s="1" t="s">
        <v>1221</v>
      </c>
      <c r="G94" s="1" t="str">
        <f t="shared" si="8"/>
        <v>抽屉03高速钢钻头</v>
      </c>
      <c r="H94" t="str">
        <f t="shared" si="6"/>
        <v>行号04</v>
      </c>
      <c r="I94" s="1" t="str">
        <f t="shared" si="7"/>
        <v>序号05</v>
      </c>
      <c r="J94" s="36" t="s">
        <v>679</v>
      </c>
      <c r="K94" s="39">
        <v>0</v>
      </c>
      <c r="L94" s="39">
        <v>0</v>
      </c>
      <c r="M94" s="39"/>
      <c r="N94" s="39"/>
      <c r="O94" s="32" t="s">
        <v>1235</v>
      </c>
    </row>
    <row r="95" spans="1:15">
      <c r="A95" s="8" t="s">
        <v>16</v>
      </c>
      <c r="B95" s="9" t="s">
        <v>18</v>
      </c>
      <c r="C95" s="8" t="s">
        <v>20</v>
      </c>
      <c r="D95" s="11" t="s">
        <v>24</v>
      </c>
      <c r="E95" s="7" t="str">
        <f t="shared" si="5"/>
        <v>02030406</v>
      </c>
      <c r="F95" s="1" t="s">
        <v>1221</v>
      </c>
      <c r="G95" s="1" t="str">
        <f t="shared" si="8"/>
        <v>抽屉03高速钢钻头</v>
      </c>
      <c r="H95" t="str">
        <f t="shared" si="6"/>
        <v>行号04</v>
      </c>
      <c r="I95" s="1" t="str">
        <f t="shared" si="7"/>
        <v>序号06</v>
      </c>
      <c r="J95" s="36" t="s">
        <v>680</v>
      </c>
      <c r="K95" s="39">
        <v>0</v>
      </c>
      <c r="L95" s="39">
        <v>0</v>
      </c>
      <c r="M95" s="39"/>
      <c r="N95" s="39"/>
      <c r="O95" s="32" t="s">
        <v>1235</v>
      </c>
    </row>
    <row r="96" spans="1:15">
      <c r="A96" s="8" t="s">
        <v>16</v>
      </c>
      <c r="B96" s="9" t="s">
        <v>18</v>
      </c>
      <c r="C96" s="8" t="s">
        <v>20</v>
      </c>
      <c r="D96" s="11" t="s">
        <v>26</v>
      </c>
      <c r="E96" s="7" t="str">
        <f t="shared" si="5"/>
        <v>02030407</v>
      </c>
      <c r="F96" s="1" t="s">
        <v>1221</v>
      </c>
      <c r="G96" s="1" t="str">
        <f t="shared" si="8"/>
        <v>抽屉03高速钢钻头</v>
      </c>
      <c r="H96" t="str">
        <f t="shared" si="6"/>
        <v>行号04</v>
      </c>
      <c r="I96" s="1" t="str">
        <f t="shared" si="7"/>
        <v>序号07</v>
      </c>
      <c r="J96" s="36" t="s">
        <v>681</v>
      </c>
      <c r="K96" s="39">
        <v>0</v>
      </c>
      <c r="L96" s="39">
        <v>5</v>
      </c>
      <c r="M96" s="39"/>
      <c r="N96" s="39"/>
      <c r="O96" s="32" t="s">
        <v>1242</v>
      </c>
    </row>
    <row r="97" spans="1:15">
      <c r="A97" s="8" t="s">
        <v>16</v>
      </c>
      <c r="B97" s="9" t="s">
        <v>18</v>
      </c>
      <c r="C97" s="8" t="s">
        <v>20</v>
      </c>
      <c r="D97" s="11" t="s">
        <v>28</v>
      </c>
      <c r="E97" s="7" t="str">
        <f t="shared" si="5"/>
        <v>02030408</v>
      </c>
      <c r="F97" s="1" t="s">
        <v>1221</v>
      </c>
      <c r="G97" s="1" t="str">
        <f t="shared" si="8"/>
        <v>抽屉03高速钢钻头</v>
      </c>
      <c r="H97" t="str">
        <f t="shared" si="6"/>
        <v>行号04</v>
      </c>
      <c r="I97" s="1" t="str">
        <f t="shared" si="7"/>
        <v>序号08</v>
      </c>
      <c r="J97" s="36" t="s">
        <v>682</v>
      </c>
      <c r="K97" s="39">
        <v>0</v>
      </c>
      <c r="L97" s="39">
        <v>5</v>
      </c>
      <c r="M97" s="39"/>
      <c r="N97" s="39"/>
      <c r="O97" s="32" t="s">
        <v>1242</v>
      </c>
    </row>
    <row r="98" spans="1:15">
      <c r="A98" s="8" t="s">
        <v>16</v>
      </c>
      <c r="B98" s="8" t="s">
        <v>20</v>
      </c>
      <c r="C98" s="10" t="s">
        <v>14</v>
      </c>
      <c r="D98" s="8" t="s">
        <v>14</v>
      </c>
      <c r="E98" s="7" t="str">
        <f t="shared" si="5"/>
        <v>02040101</v>
      </c>
      <c r="F98" s="1" t="s">
        <v>1221</v>
      </c>
      <c r="G98" s="1" t="str">
        <f>"抽屉"&amp;B98&amp;"硬质合金钻头"</f>
        <v>抽屉04硬质合金钻头</v>
      </c>
      <c r="H98" t="str">
        <f t="shared" si="6"/>
        <v>行号01</v>
      </c>
      <c r="I98" s="1" t="str">
        <f t="shared" si="7"/>
        <v>序号01</v>
      </c>
      <c r="J98" s="36" t="s">
        <v>683</v>
      </c>
      <c r="K98" s="39">
        <v>0</v>
      </c>
      <c r="L98" s="39">
        <v>5</v>
      </c>
      <c r="M98" s="39"/>
      <c r="N98" s="39"/>
      <c r="O98" s="32" t="s">
        <v>1241</v>
      </c>
    </row>
    <row r="99" spans="1:15">
      <c r="A99" s="8" t="s">
        <v>16</v>
      </c>
      <c r="B99" s="8" t="s">
        <v>20</v>
      </c>
      <c r="C99" s="10" t="s">
        <v>14</v>
      </c>
      <c r="D99" s="8" t="s">
        <v>16</v>
      </c>
      <c r="E99" s="7" t="str">
        <f t="shared" si="5"/>
        <v>02040102</v>
      </c>
      <c r="F99" s="1" t="s">
        <v>1221</v>
      </c>
      <c r="G99" s="1" t="str">
        <f t="shared" ref="G99:G128" si="9">"抽屉"&amp;B99&amp;"硬质合金钻头"</f>
        <v>抽屉04硬质合金钻头</v>
      </c>
      <c r="H99" t="str">
        <f t="shared" si="6"/>
        <v>行号01</v>
      </c>
      <c r="I99" s="1" t="str">
        <f t="shared" si="7"/>
        <v>序号02</v>
      </c>
      <c r="J99" s="36" t="s">
        <v>684</v>
      </c>
      <c r="K99" s="39">
        <v>0</v>
      </c>
      <c r="L99" s="39">
        <v>5</v>
      </c>
      <c r="M99" s="39"/>
      <c r="N99" s="39"/>
      <c r="O99" s="32" t="s">
        <v>1236</v>
      </c>
    </row>
    <row r="100" spans="1:15">
      <c r="A100" s="8" t="s">
        <v>16</v>
      </c>
      <c r="B100" s="8" t="s">
        <v>20</v>
      </c>
      <c r="C100" s="10" t="s">
        <v>14</v>
      </c>
      <c r="D100" s="8" t="s">
        <v>18</v>
      </c>
      <c r="E100" s="7" t="str">
        <f t="shared" si="5"/>
        <v>02040103</v>
      </c>
      <c r="F100" s="1" t="s">
        <v>1221</v>
      </c>
      <c r="G100" s="1" t="str">
        <f t="shared" si="9"/>
        <v>抽屉04硬质合金钻头</v>
      </c>
      <c r="H100" t="str">
        <f t="shared" si="6"/>
        <v>行号01</v>
      </c>
      <c r="I100" s="1" t="str">
        <f t="shared" si="7"/>
        <v>序号03</v>
      </c>
      <c r="J100" s="36" t="s">
        <v>685</v>
      </c>
      <c r="K100" s="39">
        <v>0</v>
      </c>
      <c r="L100" s="39">
        <v>5</v>
      </c>
      <c r="M100" s="40"/>
      <c r="N100" s="40"/>
      <c r="O100" s="32" t="s">
        <v>1234</v>
      </c>
    </row>
    <row r="101" spans="1:15">
      <c r="A101" s="8" t="s">
        <v>16</v>
      </c>
      <c r="B101" s="8" t="s">
        <v>20</v>
      </c>
      <c r="C101" s="10" t="s">
        <v>14</v>
      </c>
      <c r="D101" s="8" t="s">
        <v>20</v>
      </c>
      <c r="E101" s="7" t="str">
        <f t="shared" si="5"/>
        <v>02040104</v>
      </c>
      <c r="F101" s="1" t="s">
        <v>1221</v>
      </c>
      <c r="G101" s="1" t="str">
        <f t="shared" si="9"/>
        <v>抽屉04硬质合金钻头</v>
      </c>
      <c r="H101" t="str">
        <f t="shared" si="6"/>
        <v>行号01</v>
      </c>
      <c r="I101" s="1" t="str">
        <f t="shared" si="7"/>
        <v>序号04</v>
      </c>
      <c r="J101" s="36" t="s">
        <v>686</v>
      </c>
      <c r="K101" s="39">
        <v>0</v>
      </c>
      <c r="L101" s="39">
        <v>5</v>
      </c>
      <c r="M101" s="40"/>
      <c r="N101" s="40"/>
      <c r="O101" s="32" t="s">
        <v>1241</v>
      </c>
    </row>
    <row r="102" spans="1:15">
      <c r="A102" s="8" t="s">
        <v>16</v>
      </c>
      <c r="B102" s="8" t="s">
        <v>20</v>
      </c>
      <c r="C102" s="10" t="s">
        <v>14</v>
      </c>
      <c r="D102" s="8" t="s">
        <v>22</v>
      </c>
      <c r="E102" s="7" t="str">
        <f t="shared" si="5"/>
        <v>02040105</v>
      </c>
      <c r="F102" s="1" t="s">
        <v>1221</v>
      </c>
      <c r="G102" s="1" t="str">
        <f t="shared" si="9"/>
        <v>抽屉04硬质合金钻头</v>
      </c>
      <c r="H102" t="str">
        <f t="shared" si="6"/>
        <v>行号01</v>
      </c>
      <c r="I102" s="1" t="str">
        <f t="shared" si="7"/>
        <v>序号05</v>
      </c>
      <c r="J102" s="36" t="s">
        <v>687</v>
      </c>
      <c r="K102" s="39">
        <v>0</v>
      </c>
      <c r="L102" s="39">
        <v>5</v>
      </c>
      <c r="M102" s="40"/>
      <c r="N102" s="40"/>
      <c r="O102" s="32" t="s">
        <v>1241</v>
      </c>
    </row>
    <row r="103" spans="1:15">
      <c r="A103" s="8" t="s">
        <v>16</v>
      </c>
      <c r="B103" s="8" t="s">
        <v>20</v>
      </c>
      <c r="C103" s="10" t="s">
        <v>14</v>
      </c>
      <c r="D103" s="8" t="s">
        <v>24</v>
      </c>
      <c r="E103" s="7" t="str">
        <f t="shared" si="5"/>
        <v>02040106</v>
      </c>
      <c r="F103" s="1" t="s">
        <v>1221</v>
      </c>
      <c r="G103" s="1" t="str">
        <f t="shared" si="9"/>
        <v>抽屉04硬质合金钻头</v>
      </c>
      <c r="H103" t="str">
        <f t="shared" si="6"/>
        <v>行号01</v>
      </c>
      <c r="I103" s="1" t="str">
        <f t="shared" si="7"/>
        <v>序号06</v>
      </c>
      <c r="J103" s="36" t="s">
        <v>688</v>
      </c>
      <c r="K103" s="39">
        <v>0</v>
      </c>
      <c r="L103" s="39">
        <v>5</v>
      </c>
      <c r="M103" s="40"/>
      <c r="N103" s="40"/>
      <c r="O103" s="32" t="s">
        <v>1241</v>
      </c>
    </row>
    <row r="104" spans="1:15">
      <c r="A104" s="8" t="s">
        <v>16</v>
      </c>
      <c r="B104" s="8" t="s">
        <v>20</v>
      </c>
      <c r="C104" s="10" t="s">
        <v>14</v>
      </c>
      <c r="D104" s="8" t="s">
        <v>26</v>
      </c>
      <c r="E104" s="7" t="str">
        <f t="shared" si="5"/>
        <v>02040107</v>
      </c>
      <c r="F104" s="1" t="s">
        <v>1221</v>
      </c>
      <c r="G104" s="1" t="str">
        <f t="shared" si="9"/>
        <v>抽屉04硬质合金钻头</v>
      </c>
      <c r="H104" t="str">
        <f t="shared" si="6"/>
        <v>行号01</v>
      </c>
      <c r="I104" s="1" t="str">
        <f t="shared" si="7"/>
        <v>序号07</v>
      </c>
      <c r="J104" s="36" t="s">
        <v>689</v>
      </c>
      <c r="K104" s="39">
        <v>0</v>
      </c>
      <c r="L104" s="39">
        <v>5</v>
      </c>
      <c r="M104" s="40"/>
      <c r="N104" s="40"/>
      <c r="O104" s="32" t="s">
        <v>1241</v>
      </c>
    </row>
    <row r="105" spans="1:15">
      <c r="A105" s="8" t="s">
        <v>16</v>
      </c>
      <c r="B105" s="8" t="s">
        <v>20</v>
      </c>
      <c r="C105" s="10" t="s">
        <v>14</v>
      </c>
      <c r="D105" s="8" t="s">
        <v>28</v>
      </c>
      <c r="E105" s="7" t="str">
        <f t="shared" si="5"/>
        <v>02040108</v>
      </c>
      <c r="F105" s="1" t="s">
        <v>1221</v>
      </c>
      <c r="G105" s="1" t="str">
        <f t="shared" si="9"/>
        <v>抽屉04硬质合金钻头</v>
      </c>
      <c r="H105" t="str">
        <f t="shared" si="6"/>
        <v>行号01</v>
      </c>
      <c r="I105" s="1" t="str">
        <f t="shared" si="7"/>
        <v>序号08</v>
      </c>
      <c r="J105" s="36" t="s">
        <v>690</v>
      </c>
      <c r="K105" s="39">
        <v>0</v>
      </c>
      <c r="L105" s="39">
        <v>5</v>
      </c>
      <c r="M105" s="40"/>
      <c r="N105" s="40"/>
      <c r="O105" s="32" t="s">
        <v>1241</v>
      </c>
    </row>
    <row r="106" spans="1:15">
      <c r="A106" s="8" t="s">
        <v>16</v>
      </c>
      <c r="B106" s="8" t="s">
        <v>20</v>
      </c>
      <c r="C106" s="8" t="s">
        <v>16</v>
      </c>
      <c r="D106" s="11" t="s">
        <v>14</v>
      </c>
      <c r="E106" s="7" t="str">
        <f t="shared" si="5"/>
        <v>02040201</v>
      </c>
      <c r="F106" s="1" t="s">
        <v>1221</v>
      </c>
      <c r="G106" s="1" t="str">
        <f t="shared" si="9"/>
        <v>抽屉04硬质合金钻头</v>
      </c>
      <c r="H106" t="str">
        <f t="shared" si="6"/>
        <v>行号02</v>
      </c>
      <c r="I106" s="1" t="str">
        <f t="shared" si="7"/>
        <v>序号01</v>
      </c>
      <c r="J106" s="36" t="s">
        <v>692</v>
      </c>
      <c r="K106" s="39">
        <v>0</v>
      </c>
      <c r="L106" s="39">
        <v>5</v>
      </c>
      <c r="M106" s="40"/>
      <c r="N106" s="40"/>
      <c r="O106" s="32" t="s">
        <v>1237</v>
      </c>
    </row>
    <row r="107" spans="1:15">
      <c r="A107" s="8" t="s">
        <v>16</v>
      </c>
      <c r="B107" s="8" t="s">
        <v>20</v>
      </c>
      <c r="C107" s="8" t="s">
        <v>16</v>
      </c>
      <c r="D107" s="11" t="s">
        <v>16</v>
      </c>
      <c r="E107" s="7" t="str">
        <f t="shared" si="5"/>
        <v>02040202</v>
      </c>
      <c r="F107" s="1" t="s">
        <v>1221</v>
      </c>
      <c r="G107" s="1" t="str">
        <f t="shared" si="9"/>
        <v>抽屉04硬质合金钻头</v>
      </c>
      <c r="H107" t="str">
        <f t="shared" si="6"/>
        <v>行号02</v>
      </c>
      <c r="I107" s="1" t="str">
        <f t="shared" si="7"/>
        <v>序号02</v>
      </c>
      <c r="J107" s="36" t="s">
        <v>693</v>
      </c>
      <c r="K107" s="39">
        <v>0</v>
      </c>
      <c r="L107" s="39">
        <v>5</v>
      </c>
      <c r="M107" s="40"/>
      <c r="N107" s="40"/>
      <c r="O107" s="32" t="s">
        <v>1241</v>
      </c>
    </row>
    <row r="108" spans="1:15">
      <c r="A108" s="8" t="s">
        <v>16</v>
      </c>
      <c r="B108" s="8" t="s">
        <v>20</v>
      </c>
      <c r="C108" s="8" t="s">
        <v>16</v>
      </c>
      <c r="D108" s="11" t="s">
        <v>18</v>
      </c>
      <c r="E108" s="7" t="str">
        <f t="shared" si="5"/>
        <v>02040203</v>
      </c>
      <c r="F108" s="1" t="s">
        <v>1221</v>
      </c>
      <c r="G108" s="1" t="str">
        <f t="shared" si="9"/>
        <v>抽屉04硬质合金钻头</v>
      </c>
      <c r="H108" t="str">
        <f t="shared" si="6"/>
        <v>行号02</v>
      </c>
      <c r="I108" s="1" t="str">
        <f t="shared" si="7"/>
        <v>序号03</v>
      </c>
      <c r="J108" s="36" t="s">
        <v>694</v>
      </c>
      <c r="K108" s="39">
        <v>0</v>
      </c>
      <c r="L108" s="39">
        <v>5</v>
      </c>
      <c r="M108" s="40"/>
      <c r="N108" s="40"/>
      <c r="O108" s="32" t="s">
        <v>1238</v>
      </c>
    </row>
    <row r="109" spans="1:15">
      <c r="A109" s="8" t="s">
        <v>16</v>
      </c>
      <c r="B109" s="8" t="s">
        <v>20</v>
      </c>
      <c r="C109" s="8" t="s">
        <v>16</v>
      </c>
      <c r="D109" s="11" t="s">
        <v>20</v>
      </c>
      <c r="E109" s="7" t="str">
        <f t="shared" si="5"/>
        <v>02040204</v>
      </c>
      <c r="F109" s="1" t="s">
        <v>1221</v>
      </c>
      <c r="G109" s="1" t="str">
        <f t="shared" si="9"/>
        <v>抽屉04硬质合金钻头</v>
      </c>
      <c r="H109" t="str">
        <f t="shared" si="6"/>
        <v>行号02</v>
      </c>
      <c r="I109" s="1" t="str">
        <f t="shared" si="7"/>
        <v>序号04</v>
      </c>
      <c r="J109" s="36" t="s">
        <v>695</v>
      </c>
      <c r="K109" s="39">
        <v>0</v>
      </c>
      <c r="L109" s="39">
        <v>5</v>
      </c>
      <c r="M109" s="40"/>
      <c r="N109" s="40"/>
      <c r="O109" s="32" t="s">
        <v>1241</v>
      </c>
    </row>
    <row r="110" spans="1:15">
      <c r="A110" s="8" t="s">
        <v>16</v>
      </c>
      <c r="B110" s="8" t="s">
        <v>20</v>
      </c>
      <c r="C110" s="8" t="s">
        <v>16</v>
      </c>
      <c r="D110" s="11" t="s">
        <v>22</v>
      </c>
      <c r="E110" s="7" t="str">
        <f t="shared" si="5"/>
        <v>02040205</v>
      </c>
      <c r="F110" s="1" t="s">
        <v>1221</v>
      </c>
      <c r="G110" s="1" t="str">
        <f t="shared" si="9"/>
        <v>抽屉04硬质合金钻头</v>
      </c>
      <c r="H110" t="str">
        <f t="shared" si="6"/>
        <v>行号02</v>
      </c>
      <c r="I110" s="1" t="str">
        <f t="shared" si="7"/>
        <v>序号05</v>
      </c>
      <c r="J110" s="36" t="s">
        <v>696</v>
      </c>
      <c r="K110" s="39">
        <v>0</v>
      </c>
      <c r="L110" s="39">
        <v>5</v>
      </c>
      <c r="M110" s="40"/>
      <c r="N110" s="40"/>
      <c r="O110" s="32" t="s">
        <v>1241</v>
      </c>
    </row>
    <row r="111" spans="1:15">
      <c r="A111" s="8" t="s">
        <v>16</v>
      </c>
      <c r="B111" s="8" t="s">
        <v>20</v>
      </c>
      <c r="C111" s="8" t="s">
        <v>16</v>
      </c>
      <c r="D111" s="11" t="s">
        <v>24</v>
      </c>
      <c r="E111" s="7" t="str">
        <f t="shared" si="5"/>
        <v>02040206</v>
      </c>
      <c r="F111" s="1" t="s">
        <v>1221</v>
      </c>
      <c r="G111" s="1" t="str">
        <f t="shared" si="9"/>
        <v>抽屉04硬质合金钻头</v>
      </c>
      <c r="H111" t="str">
        <f t="shared" si="6"/>
        <v>行号02</v>
      </c>
      <c r="I111" s="1" t="str">
        <f t="shared" si="7"/>
        <v>序号06</v>
      </c>
      <c r="J111" s="36" t="s">
        <v>697</v>
      </c>
      <c r="K111" s="39">
        <v>0</v>
      </c>
      <c r="L111" s="39">
        <v>5</v>
      </c>
      <c r="M111" s="40"/>
      <c r="N111" s="40"/>
      <c r="O111" s="32" t="s">
        <v>1241</v>
      </c>
    </row>
    <row r="112" spans="1:15">
      <c r="A112" s="8" t="s">
        <v>16</v>
      </c>
      <c r="B112" s="8" t="s">
        <v>20</v>
      </c>
      <c r="C112" s="8" t="s">
        <v>16</v>
      </c>
      <c r="D112" s="11" t="s">
        <v>26</v>
      </c>
      <c r="E112" s="7" t="str">
        <f t="shared" si="5"/>
        <v>02040207</v>
      </c>
      <c r="F112" s="1" t="s">
        <v>1221</v>
      </c>
      <c r="G112" s="1" t="str">
        <f t="shared" si="9"/>
        <v>抽屉04硬质合金钻头</v>
      </c>
      <c r="H112" t="str">
        <f t="shared" si="6"/>
        <v>行号02</v>
      </c>
      <c r="I112" s="1" t="str">
        <f t="shared" si="7"/>
        <v>序号07</v>
      </c>
      <c r="J112" s="36" t="s">
        <v>698</v>
      </c>
      <c r="K112" s="39">
        <v>0</v>
      </c>
      <c r="L112" s="39">
        <v>5</v>
      </c>
      <c r="M112" s="40"/>
      <c r="N112" s="40"/>
      <c r="O112" s="32" t="s">
        <v>1241</v>
      </c>
    </row>
    <row r="113" spans="1:16">
      <c r="A113" s="8" t="s">
        <v>16</v>
      </c>
      <c r="B113" s="8" t="s">
        <v>20</v>
      </c>
      <c r="C113" s="8" t="s">
        <v>16</v>
      </c>
      <c r="D113" s="11" t="s">
        <v>28</v>
      </c>
      <c r="E113" s="7" t="str">
        <f t="shared" si="5"/>
        <v>02040208</v>
      </c>
      <c r="F113" s="1" t="s">
        <v>1221</v>
      </c>
      <c r="G113" s="1" t="str">
        <f t="shared" si="9"/>
        <v>抽屉04硬质合金钻头</v>
      </c>
      <c r="H113" t="str">
        <f t="shared" si="6"/>
        <v>行号02</v>
      </c>
      <c r="I113" s="1" t="str">
        <f t="shared" si="7"/>
        <v>序号08</v>
      </c>
      <c r="J113" s="36" t="s">
        <v>699</v>
      </c>
      <c r="K113" s="39">
        <v>0</v>
      </c>
      <c r="L113" s="39">
        <v>5</v>
      </c>
      <c r="M113" s="40"/>
      <c r="N113" s="40"/>
      <c r="O113" s="32" t="s">
        <v>1241</v>
      </c>
    </row>
    <row r="114" spans="1:16">
      <c r="A114" s="8" t="s">
        <v>16</v>
      </c>
      <c r="B114" s="8" t="s">
        <v>20</v>
      </c>
      <c r="C114" s="10" t="s">
        <v>18</v>
      </c>
      <c r="D114" s="8" t="s">
        <v>14</v>
      </c>
      <c r="E114" s="7" t="str">
        <f t="shared" si="5"/>
        <v>02040301</v>
      </c>
      <c r="F114" s="1" t="s">
        <v>1221</v>
      </c>
      <c r="G114" s="1" t="str">
        <f t="shared" si="9"/>
        <v>抽屉04硬质合金钻头</v>
      </c>
      <c r="H114" t="str">
        <f t="shared" si="6"/>
        <v>行号03</v>
      </c>
      <c r="I114" s="1" t="str">
        <f t="shared" si="7"/>
        <v>序号01</v>
      </c>
      <c r="J114" s="36" t="s">
        <v>700</v>
      </c>
      <c r="K114" s="39">
        <v>0</v>
      </c>
      <c r="L114" s="39">
        <v>5</v>
      </c>
      <c r="M114" s="39"/>
      <c r="N114" s="39"/>
      <c r="O114" s="32" t="s">
        <v>1241</v>
      </c>
    </row>
    <row r="115" spans="1:16">
      <c r="A115" s="8" t="s">
        <v>16</v>
      </c>
      <c r="B115" s="8" t="s">
        <v>20</v>
      </c>
      <c r="C115" s="10" t="s">
        <v>18</v>
      </c>
      <c r="D115" s="8" t="s">
        <v>16</v>
      </c>
      <c r="E115" s="7" t="str">
        <f t="shared" si="5"/>
        <v>02040302</v>
      </c>
      <c r="F115" s="1" t="s">
        <v>1221</v>
      </c>
      <c r="G115" s="1" t="str">
        <f t="shared" si="9"/>
        <v>抽屉04硬质合金钻头</v>
      </c>
      <c r="H115" t="str">
        <f t="shared" si="6"/>
        <v>行号03</v>
      </c>
      <c r="I115" s="1" t="str">
        <f t="shared" si="7"/>
        <v>序号02</v>
      </c>
      <c r="J115" s="36" t="s">
        <v>701</v>
      </c>
      <c r="K115" s="39">
        <v>0</v>
      </c>
      <c r="L115" s="39">
        <v>5</v>
      </c>
      <c r="M115" s="39"/>
      <c r="N115" s="39"/>
      <c r="O115" s="32" t="s">
        <v>1238</v>
      </c>
    </row>
    <row r="116" spans="1:16">
      <c r="A116" s="8" t="s">
        <v>16</v>
      </c>
      <c r="B116" s="8" t="s">
        <v>20</v>
      </c>
      <c r="C116" s="10" t="s">
        <v>18</v>
      </c>
      <c r="D116" s="8" t="s">
        <v>18</v>
      </c>
      <c r="E116" s="7" t="str">
        <f t="shared" si="5"/>
        <v>02040303</v>
      </c>
      <c r="F116" s="1" t="s">
        <v>1221</v>
      </c>
      <c r="G116" s="1" t="str">
        <f t="shared" si="9"/>
        <v>抽屉04硬质合金钻头</v>
      </c>
      <c r="H116" t="str">
        <f t="shared" si="6"/>
        <v>行号03</v>
      </c>
      <c r="I116" s="1" t="str">
        <f t="shared" si="7"/>
        <v>序号03</v>
      </c>
      <c r="J116" s="36" t="s">
        <v>702</v>
      </c>
      <c r="K116" s="39">
        <v>0</v>
      </c>
      <c r="L116" s="39">
        <v>5</v>
      </c>
      <c r="M116" s="40"/>
      <c r="N116" s="40"/>
      <c r="O116" s="32" t="s">
        <v>1241</v>
      </c>
    </row>
    <row r="117" spans="1:16">
      <c r="A117" s="8" t="s">
        <v>16</v>
      </c>
      <c r="B117" s="8" t="s">
        <v>20</v>
      </c>
      <c r="C117" s="10" t="s">
        <v>18</v>
      </c>
      <c r="D117" s="8" t="s">
        <v>20</v>
      </c>
      <c r="E117" s="7" t="str">
        <f t="shared" si="5"/>
        <v>02040304</v>
      </c>
      <c r="F117" s="1" t="s">
        <v>1221</v>
      </c>
      <c r="G117" s="1" t="str">
        <f t="shared" si="9"/>
        <v>抽屉04硬质合金钻头</v>
      </c>
      <c r="H117" t="str">
        <f t="shared" si="6"/>
        <v>行号03</v>
      </c>
      <c r="I117" s="1" t="str">
        <f t="shared" si="7"/>
        <v>序号04</v>
      </c>
      <c r="J117" s="36" t="s">
        <v>703</v>
      </c>
      <c r="K117" s="39">
        <v>0</v>
      </c>
      <c r="L117" s="39">
        <v>5</v>
      </c>
      <c r="M117" s="39"/>
      <c r="N117" s="39"/>
      <c r="O117" s="32" t="s">
        <v>1235</v>
      </c>
    </row>
    <row r="118" spans="1:16">
      <c r="A118" s="8" t="s">
        <v>16</v>
      </c>
      <c r="B118" s="8" t="s">
        <v>20</v>
      </c>
      <c r="C118" s="10" t="s">
        <v>18</v>
      </c>
      <c r="D118" s="8" t="s">
        <v>22</v>
      </c>
      <c r="E118" s="7" t="str">
        <f t="shared" si="5"/>
        <v>02040305</v>
      </c>
      <c r="F118" s="1" t="s">
        <v>1221</v>
      </c>
      <c r="G118" s="1" t="str">
        <f t="shared" si="9"/>
        <v>抽屉04硬质合金钻头</v>
      </c>
      <c r="H118" t="str">
        <f t="shared" si="6"/>
        <v>行号03</v>
      </c>
      <c r="I118" s="1" t="str">
        <f t="shared" si="7"/>
        <v>序号05</v>
      </c>
      <c r="J118" s="36" t="s">
        <v>704</v>
      </c>
      <c r="K118" s="39">
        <v>0</v>
      </c>
      <c r="L118" s="39">
        <v>5</v>
      </c>
      <c r="M118" s="40"/>
      <c r="N118" s="40"/>
      <c r="O118" s="32" t="s">
        <v>1241</v>
      </c>
    </row>
    <row r="119" spans="1:16">
      <c r="A119" s="8" t="s">
        <v>16</v>
      </c>
      <c r="B119" s="8" t="s">
        <v>20</v>
      </c>
      <c r="C119" s="10" t="s">
        <v>18</v>
      </c>
      <c r="D119" s="8" t="s">
        <v>24</v>
      </c>
      <c r="E119" s="7" t="str">
        <f t="shared" si="5"/>
        <v>02040306</v>
      </c>
      <c r="F119" s="1" t="s">
        <v>1221</v>
      </c>
      <c r="G119" s="1" t="str">
        <f t="shared" si="9"/>
        <v>抽屉04硬质合金钻头</v>
      </c>
      <c r="H119" t="str">
        <f t="shared" si="6"/>
        <v>行号03</v>
      </c>
      <c r="I119" s="1" t="str">
        <f t="shared" si="7"/>
        <v>序号06</v>
      </c>
      <c r="J119" s="36" t="s">
        <v>705</v>
      </c>
      <c r="K119" s="39">
        <v>0</v>
      </c>
      <c r="L119" s="39">
        <v>5</v>
      </c>
      <c r="M119" s="40"/>
      <c r="N119" s="40"/>
      <c r="O119" s="32" t="s">
        <v>1233</v>
      </c>
      <c r="P119" s="31">
        <v>508152</v>
      </c>
    </row>
    <row r="120" spans="1:16">
      <c r="A120" s="8" t="s">
        <v>16</v>
      </c>
      <c r="B120" s="8" t="s">
        <v>20</v>
      </c>
      <c r="C120" s="10" t="s">
        <v>18</v>
      </c>
      <c r="D120" s="8" t="s">
        <v>26</v>
      </c>
      <c r="E120" s="7" t="str">
        <f t="shared" si="5"/>
        <v>02040307</v>
      </c>
      <c r="F120" s="1" t="s">
        <v>1221</v>
      </c>
      <c r="G120" s="1" t="str">
        <f t="shared" si="9"/>
        <v>抽屉04硬质合金钻头</v>
      </c>
      <c r="H120" t="str">
        <f t="shared" si="6"/>
        <v>行号03</v>
      </c>
      <c r="I120" s="1" t="str">
        <f t="shared" si="7"/>
        <v>序号07</v>
      </c>
      <c r="J120" s="36" t="s">
        <v>706</v>
      </c>
      <c r="K120" s="39">
        <v>0</v>
      </c>
      <c r="L120" s="39">
        <v>5</v>
      </c>
      <c r="M120" s="39"/>
      <c r="N120" s="39"/>
      <c r="O120" s="32" t="s">
        <v>1238</v>
      </c>
    </row>
    <row r="121" spans="1:16">
      <c r="A121" s="8" t="s">
        <v>16</v>
      </c>
      <c r="B121" s="8" t="s">
        <v>20</v>
      </c>
      <c r="C121" s="10" t="s">
        <v>18</v>
      </c>
      <c r="D121" s="8" t="s">
        <v>28</v>
      </c>
      <c r="E121" s="7" t="str">
        <f t="shared" si="5"/>
        <v>02040308</v>
      </c>
      <c r="F121" s="1" t="s">
        <v>1221</v>
      </c>
      <c r="G121" s="1" t="str">
        <f t="shared" si="9"/>
        <v>抽屉04硬质合金钻头</v>
      </c>
      <c r="H121" t="str">
        <f t="shared" si="6"/>
        <v>行号03</v>
      </c>
      <c r="I121" s="1" t="str">
        <f t="shared" si="7"/>
        <v>序号08</v>
      </c>
      <c r="J121" s="36" t="s">
        <v>707</v>
      </c>
      <c r="K121" s="39">
        <v>0</v>
      </c>
      <c r="L121" s="39">
        <v>5</v>
      </c>
      <c r="M121" s="39"/>
      <c r="N121" s="39"/>
      <c r="O121" s="32" t="s">
        <v>1234</v>
      </c>
      <c r="P121" s="31">
        <v>996931</v>
      </c>
    </row>
    <row r="122" spans="1:16">
      <c r="A122" s="8" t="s">
        <v>16</v>
      </c>
      <c r="B122" s="8" t="s">
        <v>20</v>
      </c>
      <c r="C122" s="8" t="s">
        <v>20</v>
      </c>
      <c r="D122" s="11" t="s">
        <v>14</v>
      </c>
      <c r="E122" s="7" t="str">
        <f t="shared" si="5"/>
        <v>02040401</v>
      </c>
      <c r="F122" s="1" t="s">
        <v>1221</v>
      </c>
      <c r="G122" s="1" t="str">
        <f t="shared" si="9"/>
        <v>抽屉04硬质合金钻头</v>
      </c>
      <c r="H122" t="str">
        <f t="shared" si="6"/>
        <v>行号04</v>
      </c>
      <c r="I122" s="1" t="str">
        <f t="shared" si="7"/>
        <v>序号01</v>
      </c>
      <c r="J122" s="36" t="s">
        <v>1140</v>
      </c>
      <c r="K122" s="39">
        <v>0</v>
      </c>
      <c r="L122" s="39">
        <v>5</v>
      </c>
      <c r="M122" s="39"/>
      <c r="N122" s="39"/>
      <c r="O122" s="32" t="s">
        <v>1238</v>
      </c>
    </row>
    <row r="123" spans="1:16">
      <c r="A123" s="8" t="s">
        <v>16</v>
      </c>
      <c r="B123" s="8" t="s">
        <v>20</v>
      </c>
      <c r="C123" s="8" t="s">
        <v>20</v>
      </c>
      <c r="D123" s="11" t="s">
        <v>16</v>
      </c>
      <c r="E123" s="7" t="str">
        <f t="shared" si="5"/>
        <v>02040402</v>
      </c>
      <c r="F123" s="1" t="s">
        <v>1221</v>
      </c>
      <c r="G123" s="1" t="str">
        <f t="shared" si="9"/>
        <v>抽屉04硬质合金钻头</v>
      </c>
      <c r="H123" t="str">
        <f t="shared" si="6"/>
        <v>行号04</v>
      </c>
      <c r="I123" s="1" t="str">
        <f t="shared" si="7"/>
        <v>序号02</v>
      </c>
      <c r="J123" s="36" t="s">
        <v>708</v>
      </c>
      <c r="K123" s="39">
        <v>0</v>
      </c>
      <c r="L123" s="39">
        <v>5</v>
      </c>
      <c r="M123" s="39"/>
      <c r="N123" s="39"/>
      <c r="O123" s="32" t="s">
        <v>1241</v>
      </c>
    </row>
    <row r="124" spans="1:16">
      <c r="A124" s="8" t="s">
        <v>16</v>
      </c>
      <c r="B124" s="8" t="s">
        <v>20</v>
      </c>
      <c r="C124" s="8" t="s">
        <v>20</v>
      </c>
      <c r="D124" s="11" t="s">
        <v>18</v>
      </c>
      <c r="E124" s="7" t="str">
        <f t="shared" si="5"/>
        <v>02040403</v>
      </c>
      <c r="F124" s="1" t="s">
        <v>1221</v>
      </c>
      <c r="G124" s="1" t="str">
        <f t="shared" si="9"/>
        <v>抽屉04硬质合金钻头</v>
      </c>
      <c r="H124" t="str">
        <f t="shared" si="6"/>
        <v>行号04</v>
      </c>
      <c r="I124" s="1" t="str">
        <f t="shared" si="7"/>
        <v>序号03</v>
      </c>
      <c r="J124" s="36" t="s">
        <v>709</v>
      </c>
      <c r="K124" s="39">
        <v>0</v>
      </c>
      <c r="L124" s="39">
        <v>5</v>
      </c>
      <c r="M124" s="39"/>
      <c r="N124" s="39"/>
      <c r="O124" s="32" t="s">
        <v>1238</v>
      </c>
    </row>
    <row r="125" spans="1:16">
      <c r="A125" s="8" t="s">
        <v>16</v>
      </c>
      <c r="B125" s="8" t="s">
        <v>20</v>
      </c>
      <c r="C125" s="8" t="s">
        <v>20</v>
      </c>
      <c r="D125" s="11" t="s">
        <v>20</v>
      </c>
      <c r="E125" s="7" t="str">
        <f t="shared" si="5"/>
        <v>02040404</v>
      </c>
      <c r="F125" s="1" t="s">
        <v>1221</v>
      </c>
      <c r="G125" s="1" t="str">
        <f t="shared" si="9"/>
        <v>抽屉04硬质合金钻头</v>
      </c>
      <c r="H125" t="str">
        <f t="shared" si="6"/>
        <v>行号04</v>
      </c>
      <c r="I125" s="1" t="str">
        <f t="shared" si="7"/>
        <v>序号04</v>
      </c>
      <c r="J125" s="36" t="s">
        <v>710</v>
      </c>
      <c r="K125" s="39">
        <v>0</v>
      </c>
      <c r="L125" s="39">
        <v>5</v>
      </c>
      <c r="M125" s="39"/>
      <c r="N125" s="39"/>
      <c r="O125" s="32" t="s">
        <v>1238</v>
      </c>
    </row>
    <row r="126" spans="1:16">
      <c r="A126" s="8" t="s">
        <v>16</v>
      </c>
      <c r="B126" s="8" t="s">
        <v>20</v>
      </c>
      <c r="C126" s="8" t="s">
        <v>20</v>
      </c>
      <c r="D126" s="11" t="s">
        <v>22</v>
      </c>
      <c r="E126" s="7" t="str">
        <f t="shared" si="5"/>
        <v>02040405</v>
      </c>
      <c r="F126" s="1" t="s">
        <v>1221</v>
      </c>
      <c r="G126" s="1" t="str">
        <f t="shared" si="9"/>
        <v>抽屉04硬质合金钻头</v>
      </c>
      <c r="H126" t="str">
        <f t="shared" si="6"/>
        <v>行号04</v>
      </c>
      <c r="I126" s="1" t="str">
        <f t="shared" si="7"/>
        <v>序号05</v>
      </c>
      <c r="J126" s="36" t="s">
        <v>711</v>
      </c>
      <c r="K126" s="39">
        <v>0</v>
      </c>
      <c r="L126" s="39">
        <v>5</v>
      </c>
      <c r="M126" s="39"/>
      <c r="N126" s="39"/>
      <c r="O126" s="32" t="s">
        <v>1238</v>
      </c>
    </row>
    <row r="127" spans="1:16">
      <c r="A127" s="8" t="s">
        <v>16</v>
      </c>
      <c r="B127" s="8" t="s">
        <v>20</v>
      </c>
      <c r="C127" s="8" t="s">
        <v>20</v>
      </c>
      <c r="D127" s="11" t="s">
        <v>24</v>
      </c>
      <c r="E127" s="7" t="str">
        <f t="shared" si="5"/>
        <v>02040406</v>
      </c>
      <c r="F127" s="1" t="s">
        <v>1221</v>
      </c>
      <c r="G127" s="1" t="str">
        <f t="shared" si="9"/>
        <v>抽屉04硬质合金钻头</v>
      </c>
      <c r="H127" t="str">
        <f t="shared" si="6"/>
        <v>行号04</v>
      </c>
      <c r="I127" s="1" t="str">
        <f t="shared" si="7"/>
        <v>序号06</v>
      </c>
      <c r="J127" s="36" t="s">
        <v>712</v>
      </c>
      <c r="K127" s="39">
        <v>0</v>
      </c>
      <c r="L127" s="39">
        <v>5</v>
      </c>
      <c r="M127" s="39"/>
      <c r="N127" s="39"/>
      <c r="O127" s="32" t="s">
        <v>1234</v>
      </c>
      <c r="P127" s="31">
        <v>970700</v>
      </c>
    </row>
    <row r="128" spans="1:16">
      <c r="A128" s="8" t="s">
        <v>16</v>
      </c>
      <c r="B128" s="8" t="s">
        <v>20</v>
      </c>
      <c r="C128" s="8" t="s">
        <v>20</v>
      </c>
      <c r="D128" s="11" t="s">
        <v>26</v>
      </c>
      <c r="E128" s="7" t="str">
        <f t="shared" si="5"/>
        <v>02040407</v>
      </c>
      <c r="F128" s="1" t="s">
        <v>1221</v>
      </c>
      <c r="G128" s="1" t="str">
        <f t="shared" si="9"/>
        <v>抽屉04硬质合金钻头</v>
      </c>
      <c r="H128" t="str">
        <f t="shared" si="6"/>
        <v>行号04</v>
      </c>
      <c r="I128" s="1" t="str">
        <f t="shared" si="7"/>
        <v>序号07</v>
      </c>
      <c r="J128" s="36" t="s">
        <v>713</v>
      </c>
      <c r="K128" s="39">
        <v>0</v>
      </c>
      <c r="L128" s="39">
        <v>5</v>
      </c>
      <c r="M128" s="39"/>
      <c r="N128" s="39"/>
      <c r="O128" s="32" t="s">
        <v>1234</v>
      </c>
      <c r="P128" s="31">
        <v>970697</v>
      </c>
    </row>
    <row r="129" spans="1:15">
      <c r="A129" s="8" t="s">
        <v>16</v>
      </c>
      <c r="B129" s="8" t="s">
        <v>20</v>
      </c>
      <c r="C129" s="8" t="s">
        <v>20</v>
      </c>
      <c r="D129" s="11" t="s">
        <v>28</v>
      </c>
      <c r="E129" s="7" t="str">
        <f t="shared" si="5"/>
        <v>02040408</v>
      </c>
      <c r="F129" s="1" t="s">
        <v>1221</v>
      </c>
      <c r="G129" s="1" t="str">
        <f>"抽屉"&amp;B129&amp;"硬质合金钻头"</f>
        <v>抽屉04硬质合金钻头</v>
      </c>
      <c r="H129" t="str">
        <f t="shared" si="6"/>
        <v>行号04</v>
      </c>
      <c r="I129" s="1" t="str">
        <f t="shared" si="7"/>
        <v>序号08</v>
      </c>
      <c r="J129" s="36" t="s">
        <v>691</v>
      </c>
      <c r="K129" s="39">
        <v>0</v>
      </c>
      <c r="L129" s="39">
        <v>5</v>
      </c>
      <c r="M129" s="39"/>
      <c r="N129" s="39"/>
      <c r="O129" s="32" t="s">
        <v>1235</v>
      </c>
    </row>
    <row r="130" spans="1:15">
      <c r="A130" s="8" t="s">
        <v>16</v>
      </c>
      <c r="B130" s="9" t="s">
        <v>22</v>
      </c>
      <c r="C130" s="10" t="s">
        <v>14</v>
      </c>
      <c r="D130" s="8" t="s">
        <v>14</v>
      </c>
      <c r="E130" s="7" t="str">
        <f t="shared" ref="E130:E193" si="10">A130&amp;B130&amp;C130&amp;D130</f>
        <v>02050101</v>
      </c>
      <c r="F130" s="1" t="s">
        <v>1221</v>
      </c>
      <c r="G130" s="1" t="str">
        <f>"抽屉"&amp;B130&amp;"硬质合金钻头"</f>
        <v>抽屉05硬质合金钻头</v>
      </c>
      <c r="H130" t="str">
        <f t="shared" ref="H130:H193" si="11">"行号"&amp;C130</f>
        <v>行号01</v>
      </c>
      <c r="I130" s="1" t="str">
        <f t="shared" ref="I130:I193" si="12">"序号"&amp;D130</f>
        <v>序号01</v>
      </c>
      <c r="J130" s="36" t="s">
        <v>714</v>
      </c>
      <c r="K130" s="39">
        <v>0</v>
      </c>
      <c r="L130" s="39">
        <v>5</v>
      </c>
      <c r="M130" s="39"/>
      <c r="N130" s="39"/>
      <c r="O130" s="32" t="s">
        <v>1241</v>
      </c>
    </row>
    <row r="131" spans="1:15">
      <c r="A131" s="8" t="s">
        <v>16</v>
      </c>
      <c r="B131" s="9" t="s">
        <v>22</v>
      </c>
      <c r="C131" s="10" t="s">
        <v>14</v>
      </c>
      <c r="D131" s="8" t="s">
        <v>16</v>
      </c>
      <c r="E131" s="7" t="str">
        <f t="shared" si="10"/>
        <v>02050102</v>
      </c>
      <c r="F131" s="1" t="s">
        <v>1221</v>
      </c>
      <c r="G131" s="1" t="str">
        <f t="shared" ref="G131:G161" si="13">"抽屉"&amp;B131&amp;"硬质合金钻头"</f>
        <v>抽屉05硬质合金钻头</v>
      </c>
      <c r="H131" t="str">
        <f t="shared" si="11"/>
        <v>行号01</v>
      </c>
      <c r="I131" s="1" t="str">
        <f t="shared" si="12"/>
        <v>序号02</v>
      </c>
      <c r="J131" s="36" t="s">
        <v>715</v>
      </c>
      <c r="K131" s="39">
        <v>0</v>
      </c>
      <c r="L131" s="39">
        <v>5</v>
      </c>
      <c r="M131" s="39"/>
      <c r="N131" s="39"/>
      <c r="O131" s="32" t="s">
        <v>1241</v>
      </c>
    </row>
    <row r="132" spans="1:15">
      <c r="A132" s="8" t="s">
        <v>16</v>
      </c>
      <c r="B132" s="9" t="s">
        <v>22</v>
      </c>
      <c r="C132" s="10" t="s">
        <v>14</v>
      </c>
      <c r="D132" s="8" t="s">
        <v>18</v>
      </c>
      <c r="E132" s="7" t="str">
        <f t="shared" si="10"/>
        <v>02050103</v>
      </c>
      <c r="F132" s="1" t="s">
        <v>1221</v>
      </c>
      <c r="G132" s="1" t="str">
        <f t="shared" si="13"/>
        <v>抽屉05硬质合金钻头</v>
      </c>
      <c r="H132" t="str">
        <f t="shared" si="11"/>
        <v>行号01</v>
      </c>
      <c r="I132" s="1" t="str">
        <f t="shared" si="12"/>
        <v>序号03</v>
      </c>
      <c r="J132" s="36" t="s">
        <v>716</v>
      </c>
      <c r="K132" s="39">
        <v>0</v>
      </c>
      <c r="L132" s="39">
        <v>5</v>
      </c>
      <c r="M132" s="39"/>
      <c r="N132" s="39"/>
      <c r="O132" s="32" t="s">
        <v>1241</v>
      </c>
    </row>
    <row r="133" spans="1:15">
      <c r="A133" s="8" t="s">
        <v>16</v>
      </c>
      <c r="B133" s="9" t="s">
        <v>22</v>
      </c>
      <c r="C133" s="10" t="s">
        <v>14</v>
      </c>
      <c r="D133" s="8" t="s">
        <v>20</v>
      </c>
      <c r="E133" s="7" t="str">
        <f t="shared" si="10"/>
        <v>02050104</v>
      </c>
      <c r="F133" s="1" t="s">
        <v>1221</v>
      </c>
      <c r="G133" s="1" t="str">
        <f t="shared" si="13"/>
        <v>抽屉05硬质合金钻头</v>
      </c>
      <c r="H133" t="str">
        <f t="shared" si="11"/>
        <v>行号01</v>
      </c>
      <c r="I133" s="1" t="str">
        <f t="shared" si="12"/>
        <v>序号04</v>
      </c>
      <c r="J133" s="36" t="s">
        <v>717</v>
      </c>
      <c r="K133" s="39">
        <v>0</v>
      </c>
      <c r="L133" s="39">
        <v>5</v>
      </c>
      <c r="M133" s="39"/>
      <c r="N133" s="39"/>
      <c r="O133" s="32" t="s">
        <v>1238</v>
      </c>
    </row>
    <row r="134" spans="1:15">
      <c r="A134" s="8" t="s">
        <v>16</v>
      </c>
      <c r="B134" s="9" t="s">
        <v>22</v>
      </c>
      <c r="C134" s="10" t="s">
        <v>14</v>
      </c>
      <c r="D134" s="8" t="s">
        <v>22</v>
      </c>
      <c r="E134" s="7" t="str">
        <f t="shared" si="10"/>
        <v>02050105</v>
      </c>
      <c r="F134" s="1" t="s">
        <v>1221</v>
      </c>
      <c r="G134" s="1" t="str">
        <f t="shared" si="13"/>
        <v>抽屉05硬质合金钻头</v>
      </c>
      <c r="H134" t="str">
        <f t="shared" si="11"/>
        <v>行号01</v>
      </c>
      <c r="I134" s="1" t="str">
        <f t="shared" si="12"/>
        <v>序号05</v>
      </c>
      <c r="J134" s="36" t="s">
        <v>718</v>
      </c>
      <c r="K134" s="39">
        <v>0</v>
      </c>
      <c r="L134" s="39">
        <v>5</v>
      </c>
      <c r="M134" s="39"/>
      <c r="N134" s="39"/>
      <c r="O134" s="32" t="s">
        <v>1238</v>
      </c>
    </row>
    <row r="135" spans="1:15">
      <c r="A135" s="8" t="s">
        <v>16</v>
      </c>
      <c r="B135" s="9" t="s">
        <v>22</v>
      </c>
      <c r="C135" s="10" t="s">
        <v>14</v>
      </c>
      <c r="D135" s="8" t="s">
        <v>24</v>
      </c>
      <c r="E135" s="7" t="str">
        <f t="shared" si="10"/>
        <v>02050106</v>
      </c>
      <c r="F135" s="1" t="s">
        <v>1221</v>
      </c>
      <c r="G135" s="1" t="str">
        <f t="shared" si="13"/>
        <v>抽屉05硬质合金钻头</v>
      </c>
      <c r="H135" t="str">
        <f t="shared" si="11"/>
        <v>行号01</v>
      </c>
      <c r="I135" s="1" t="str">
        <f t="shared" si="12"/>
        <v>序号06</v>
      </c>
      <c r="J135" s="36" t="s">
        <v>719</v>
      </c>
      <c r="K135" s="39">
        <v>0</v>
      </c>
      <c r="L135" s="39">
        <v>5</v>
      </c>
      <c r="M135" s="39"/>
      <c r="N135" s="39"/>
      <c r="O135" s="32" t="s">
        <v>1234</v>
      </c>
    </row>
    <row r="136" spans="1:15">
      <c r="A136" s="8" t="s">
        <v>16</v>
      </c>
      <c r="B136" s="9" t="s">
        <v>22</v>
      </c>
      <c r="C136" s="10" t="s">
        <v>14</v>
      </c>
      <c r="D136" s="8" t="s">
        <v>26</v>
      </c>
      <c r="E136" s="7" t="str">
        <f t="shared" si="10"/>
        <v>02050107</v>
      </c>
      <c r="F136" s="1" t="s">
        <v>1221</v>
      </c>
      <c r="G136" s="1" t="str">
        <f t="shared" si="13"/>
        <v>抽屉05硬质合金钻头</v>
      </c>
      <c r="H136" t="str">
        <f t="shared" si="11"/>
        <v>行号01</v>
      </c>
      <c r="I136" s="1" t="str">
        <f t="shared" si="12"/>
        <v>序号07</v>
      </c>
      <c r="J136" s="36" t="s">
        <v>720</v>
      </c>
      <c r="K136" s="39">
        <v>0</v>
      </c>
      <c r="L136" s="39">
        <v>5</v>
      </c>
      <c r="M136" s="39"/>
      <c r="N136" s="39"/>
      <c r="O136" s="32" t="s">
        <v>1241</v>
      </c>
    </row>
    <row r="137" spans="1:15">
      <c r="A137" s="8" t="s">
        <v>16</v>
      </c>
      <c r="B137" s="9" t="s">
        <v>22</v>
      </c>
      <c r="C137" s="10" t="s">
        <v>14</v>
      </c>
      <c r="D137" s="8" t="s">
        <v>28</v>
      </c>
      <c r="E137" s="7" t="str">
        <f t="shared" si="10"/>
        <v>02050108</v>
      </c>
      <c r="F137" s="1" t="s">
        <v>1221</v>
      </c>
      <c r="G137" s="1" t="str">
        <f t="shared" si="13"/>
        <v>抽屉05硬质合金钻头</v>
      </c>
      <c r="H137" t="str">
        <f t="shared" si="11"/>
        <v>行号01</v>
      </c>
      <c r="I137" s="1" t="str">
        <f t="shared" si="12"/>
        <v>序号08</v>
      </c>
      <c r="J137" s="36" t="s">
        <v>721</v>
      </c>
      <c r="K137" s="39">
        <v>0</v>
      </c>
      <c r="L137" s="39">
        <v>5</v>
      </c>
      <c r="M137" s="39"/>
      <c r="N137" s="39"/>
      <c r="O137" s="32" t="s">
        <v>1234</v>
      </c>
    </row>
    <row r="138" spans="1:15">
      <c r="A138" s="8" t="s">
        <v>16</v>
      </c>
      <c r="B138" s="9" t="s">
        <v>22</v>
      </c>
      <c r="C138" s="8" t="s">
        <v>16</v>
      </c>
      <c r="D138" s="11" t="s">
        <v>14</v>
      </c>
      <c r="E138" s="7" t="str">
        <f t="shared" si="10"/>
        <v>02050201</v>
      </c>
      <c r="F138" s="1" t="s">
        <v>1221</v>
      </c>
      <c r="G138" s="1" t="str">
        <f t="shared" si="13"/>
        <v>抽屉05硬质合金钻头</v>
      </c>
      <c r="H138" t="str">
        <f t="shared" si="11"/>
        <v>行号02</v>
      </c>
      <c r="I138" s="1" t="str">
        <f t="shared" si="12"/>
        <v>序号01</v>
      </c>
      <c r="J138" s="36" t="s">
        <v>722</v>
      </c>
      <c r="K138" s="39">
        <v>0</v>
      </c>
      <c r="L138" s="39">
        <v>5</v>
      </c>
      <c r="M138" s="39"/>
      <c r="N138" s="39"/>
      <c r="O138" s="32" t="s">
        <v>1234</v>
      </c>
    </row>
    <row r="139" spans="1:15">
      <c r="A139" s="8" t="s">
        <v>16</v>
      </c>
      <c r="B139" s="9" t="s">
        <v>22</v>
      </c>
      <c r="C139" s="8" t="s">
        <v>16</v>
      </c>
      <c r="D139" s="11" t="s">
        <v>16</v>
      </c>
      <c r="E139" s="7" t="str">
        <f t="shared" si="10"/>
        <v>02050202</v>
      </c>
      <c r="F139" s="1" t="s">
        <v>1221</v>
      </c>
      <c r="G139" s="1" t="str">
        <f t="shared" si="13"/>
        <v>抽屉05硬质合金钻头</v>
      </c>
      <c r="H139" t="str">
        <f t="shared" si="11"/>
        <v>行号02</v>
      </c>
      <c r="I139" s="1" t="str">
        <f t="shared" si="12"/>
        <v>序号02</v>
      </c>
      <c r="J139" s="36" t="s">
        <v>723</v>
      </c>
      <c r="K139" s="39">
        <v>0</v>
      </c>
      <c r="L139" s="39">
        <v>5</v>
      </c>
      <c r="M139" s="39"/>
      <c r="N139" s="39"/>
      <c r="O139" s="32" t="s">
        <v>1236</v>
      </c>
    </row>
    <row r="140" spans="1:15">
      <c r="A140" s="8" t="s">
        <v>16</v>
      </c>
      <c r="B140" s="9" t="s">
        <v>22</v>
      </c>
      <c r="C140" s="8" t="s">
        <v>16</v>
      </c>
      <c r="D140" s="11" t="s">
        <v>18</v>
      </c>
      <c r="E140" s="7" t="str">
        <f t="shared" si="10"/>
        <v>02050203</v>
      </c>
      <c r="F140" s="1" t="s">
        <v>1221</v>
      </c>
      <c r="G140" s="1" t="str">
        <f t="shared" si="13"/>
        <v>抽屉05硬质合金钻头</v>
      </c>
      <c r="H140" t="str">
        <f t="shared" si="11"/>
        <v>行号02</v>
      </c>
      <c r="I140" s="1" t="str">
        <f t="shared" si="12"/>
        <v>序号03</v>
      </c>
      <c r="J140" s="36" t="s">
        <v>724</v>
      </c>
      <c r="K140" s="39">
        <v>0</v>
      </c>
      <c r="L140" s="39">
        <v>5</v>
      </c>
      <c r="M140" s="39"/>
      <c r="N140" s="39"/>
      <c r="O140" s="32" t="s">
        <v>1234</v>
      </c>
    </row>
    <row r="141" spans="1:15">
      <c r="A141" s="8" t="s">
        <v>16</v>
      </c>
      <c r="B141" s="9" t="s">
        <v>22</v>
      </c>
      <c r="C141" s="8" t="s">
        <v>16</v>
      </c>
      <c r="D141" s="11" t="s">
        <v>20</v>
      </c>
      <c r="E141" s="7" t="str">
        <f t="shared" si="10"/>
        <v>02050204</v>
      </c>
      <c r="F141" s="1" t="s">
        <v>1221</v>
      </c>
      <c r="G141" s="1" t="str">
        <f t="shared" si="13"/>
        <v>抽屉05硬质合金钻头</v>
      </c>
      <c r="H141" t="str">
        <f t="shared" si="11"/>
        <v>行号02</v>
      </c>
      <c r="I141" s="1" t="str">
        <f t="shared" si="12"/>
        <v>序号04</v>
      </c>
      <c r="J141" s="36" t="s">
        <v>725</v>
      </c>
      <c r="K141" s="39">
        <v>0</v>
      </c>
      <c r="L141" s="39">
        <v>5</v>
      </c>
      <c r="M141" s="39"/>
      <c r="N141" s="39"/>
      <c r="O141" s="32" t="s">
        <v>1241</v>
      </c>
    </row>
    <row r="142" spans="1:15">
      <c r="A142" s="8" t="s">
        <v>16</v>
      </c>
      <c r="B142" s="9" t="s">
        <v>22</v>
      </c>
      <c r="C142" s="8" t="s">
        <v>16</v>
      </c>
      <c r="D142" s="11" t="s">
        <v>22</v>
      </c>
      <c r="E142" s="7" t="str">
        <f t="shared" si="10"/>
        <v>02050205</v>
      </c>
      <c r="F142" s="1" t="s">
        <v>1221</v>
      </c>
      <c r="G142" s="1" t="str">
        <f t="shared" si="13"/>
        <v>抽屉05硬质合金钻头</v>
      </c>
      <c r="H142" t="str">
        <f t="shared" si="11"/>
        <v>行号02</v>
      </c>
      <c r="I142" s="1" t="str">
        <f t="shared" si="12"/>
        <v>序号05</v>
      </c>
      <c r="J142" s="36" t="s">
        <v>1276</v>
      </c>
      <c r="K142" s="39">
        <v>0</v>
      </c>
      <c r="L142" s="39">
        <v>5</v>
      </c>
      <c r="M142" s="39"/>
      <c r="N142" s="39"/>
      <c r="O142" s="32" t="s">
        <v>1238</v>
      </c>
    </row>
    <row r="143" spans="1:15">
      <c r="A143" s="8" t="s">
        <v>16</v>
      </c>
      <c r="B143" s="9" t="s">
        <v>22</v>
      </c>
      <c r="C143" s="8" t="s">
        <v>16</v>
      </c>
      <c r="D143" s="11" t="s">
        <v>24</v>
      </c>
      <c r="E143" s="7" t="str">
        <f t="shared" si="10"/>
        <v>02050206</v>
      </c>
      <c r="F143" s="1" t="s">
        <v>1221</v>
      </c>
      <c r="G143" s="1" t="str">
        <f t="shared" si="13"/>
        <v>抽屉05硬质合金钻头</v>
      </c>
      <c r="H143" t="str">
        <f t="shared" si="11"/>
        <v>行号02</v>
      </c>
      <c r="I143" s="1" t="str">
        <f t="shared" si="12"/>
        <v>序号06</v>
      </c>
      <c r="J143" s="36" t="s">
        <v>726</v>
      </c>
      <c r="K143" s="39">
        <v>0</v>
      </c>
      <c r="L143" s="39">
        <v>5</v>
      </c>
      <c r="M143" s="39"/>
      <c r="N143" s="39"/>
      <c r="O143" s="32" t="s">
        <v>1234</v>
      </c>
    </row>
    <row r="144" spans="1:15">
      <c r="A144" s="8" t="s">
        <v>16</v>
      </c>
      <c r="B144" s="9" t="s">
        <v>22</v>
      </c>
      <c r="C144" s="8" t="s">
        <v>16</v>
      </c>
      <c r="D144" s="11" t="s">
        <v>26</v>
      </c>
      <c r="E144" s="7" t="str">
        <f t="shared" si="10"/>
        <v>02050207</v>
      </c>
      <c r="F144" s="1" t="s">
        <v>1221</v>
      </c>
      <c r="G144" s="1" t="str">
        <f t="shared" si="13"/>
        <v>抽屉05硬质合金钻头</v>
      </c>
      <c r="H144" t="str">
        <f t="shared" si="11"/>
        <v>行号02</v>
      </c>
      <c r="I144" s="1" t="str">
        <f t="shared" si="12"/>
        <v>序号07</v>
      </c>
      <c r="J144" s="36" t="s">
        <v>727</v>
      </c>
      <c r="K144" s="39">
        <v>0</v>
      </c>
      <c r="L144" s="39">
        <v>5</v>
      </c>
      <c r="M144" s="39"/>
      <c r="N144" s="39"/>
      <c r="O144" s="32" t="s">
        <v>1235</v>
      </c>
    </row>
    <row r="145" spans="1:15">
      <c r="A145" s="8" t="s">
        <v>16</v>
      </c>
      <c r="B145" s="9" t="s">
        <v>22</v>
      </c>
      <c r="C145" s="8" t="s">
        <v>16</v>
      </c>
      <c r="D145" s="11" t="s">
        <v>28</v>
      </c>
      <c r="E145" s="7" t="str">
        <f t="shared" si="10"/>
        <v>02050208</v>
      </c>
      <c r="F145" s="1" t="s">
        <v>1221</v>
      </c>
      <c r="G145" s="1" t="str">
        <f t="shared" si="13"/>
        <v>抽屉05硬质合金钻头</v>
      </c>
      <c r="H145" t="str">
        <f t="shared" si="11"/>
        <v>行号02</v>
      </c>
      <c r="I145" s="1" t="str">
        <f t="shared" si="12"/>
        <v>序号08</v>
      </c>
      <c r="J145" s="36" t="s">
        <v>728</v>
      </c>
      <c r="K145" s="39">
        <v>0</v>
      </c>
      <c r="L145" s="39">
        <v>5</v>
      </c>
      <c r="M145" s="39"/>
      <c r="N145" s="39"/>
      <c r="O145" s="32" t="s">
        <v>1239</v>
      </c>
    </row>
    <row r="146" spans="1:15">
      <c r="A146" s="8" t="s">
        <v>16</v>
      </c>
      <c r="B146" s="9" t="s">
        <v>22</v>
      </c>
      <c r="C146" s="10" t="s">
        <v>18</v>
      </c>
      <c r="D146" s="8" t="s">
        <v>14</v>
      </c>
      <c r="E146" s="7" t="str">
        <f t="shared" si="10"/>
        <v>02050301</v>
      </c>
      <c r="F146" s="1" t="s">
        <v>1221</v>
      </c>
      <c r="G146" s="1" t="str">
        <f t="shared" si="13"/>
        <v>抽屉05硬质合金钻头</v>
      </c>
      <c r="H146" t="str">
        <f t="shared" si="11"/>
        <v>行号03</v>
      </c>
      <c r="I146" s="1" t="str">
        <f t="shared" si="12"/>
        <v>序号01</v>
      </c>
      <c r="J146" s="36" t="s">
        <v>729</v>
      </c>
      <c r="K146" s="39">
        <v>0</v>
      </c>
      <c r="L146" s="39">
        <v>5</v>
      </c>
      <c r="M146" s="39"/>
      <c r="N146" s="39"/>
      <c r="O146" s="32" t="s">
        <v>1241</v>
      </c>
    </row>
    <row r="147" spans="1:15">
      <c r="A147" s="8" t="s">
        <v>16</v>
      </c>
      <c r="B147" s="9" t="s">
        <v>22</v>
      </c>
      <c r="C147" s="10" t="s">
        <v>18</v>
      </c>
      <c r="D147" s="8" t="s">
        <v>16</v>
      </c>
      <c r="E147" s="7" t="str">
        <f t="shared" si="10"/>
        <v>02050302</v>
      </c>
      <c r="F147" s="1" t="s">
        <v>1221</v>
      </c>
      <c r="G147" s="1" t="str">
        <f t="shared" si="13"/>
        <v>抽屉05硬质合金钻头</v>
      </c>
      <c r="H147" t="str">
        <f t="shared" si="11"/>
        <v>行号03</v>
      </c>
      <c r="I147" s="1" t="str">
        <f t="shared" si="12"/>
        <v>序号02</v>
      </c>
      <c r="J147" s="36" t="s">
        <v>730</v>
      </c>
      <c r="K147" s="39">
        <v>0</v>
      </c>
      <c r="L147" s="39">
        <v>5</v>
      </c>
      <c r="M147" s="39"/>
      <c r="N147" s="39"/>
      <c r="O147" s="32" t="s">
        <v>1238</v>
      </c>
    </row>
    <row r="148" spans="1:15">
      <c r="A148" s="8" t="s">
        <v>16</v>
      </c>
      <c r="B148" s="9" t="s">
        <v>22</v>
      </c>
      <c r="C148" s="10" t="s">
        <v>18</v>
      </c>
      <c r="D148" s="8" t="s">
        <v>18</v>
      </c>
      <c r="E148" s="7" t="str">
        <f t="shared" si="10"/>
        <v>02050303</v>
      </c>
      <c r="F148" s="1" t="s">
        <v>1221</v>
      </c>
      <c r="G148" s="1" t="str">
        <f t="shared" si="13"/>
        <v>抽屉05硬质合金钻头</v>
      </c>
      <c r="H148" t="str">
        <f t="shared" si="11"/>
        <v>行号03</v>
      </c>
      <c r="I148" s="1" t="str">
        <f t="shared" si="12"/>
        <v>序号03</v>
      </c>
      <c r="J148" s="36" t="s">
        <v>731</v>
      </c>
      <c r="K148" s="39">
        <v>0</v>
      </c>
      <c r="L148" s="39">
        <v>5</v>
      </c>
      <c r="M148" s="39"/>
      <c r="N148" s="39"/>
      <c r="O148" s="32" t="s">
        <v>1234</v>
      </c>
    </row>
    <row r="149" spans="1:15">
      <c r="A149" s="8" t="s">
        <v>16</v>
      </c>
      <c r="B149" s="9" t="s">
        <v>22</v>
      </c>
      <c r="C149" s="10" t="s">
        <v>18</v>
      </c>
      <c r="D149" s="8" t="s">
        <v>20</v>
      </c>
      <c r="E149" s="7" t="str">
        <f t="shared" si="10"/>
        <v>02050304</v>
      </c>
      <c r="F149" s="1" t="s">
        <v>1221</v>
      </c>
      <c r="G149" s="1" t="str">
        <f t="shared" si="13"/>
        <v>抽屉05硬质合金钻头</v>
      </c>
      <c r="H149" t="str">
        <f t="shared" si="11"/>
        <v>行号03</v>
      </c>
      <c r="I149" s="1" t="str">
        <f t="shared" si="12"/>
        <v>序号04</v>
      </c>
      <c r="J149" s="36" t="s">
        <v>732</v>
      </c>
      <c r="K149" s="39">
        <v>0</v>
      </c>
      <c r="L149" s="39">
        <v>5</v>
      </c>
      <c r="M149" s="39"/>
      <c r="N149" s="39"/>
      <c r="O149" s="32" t="s">
        <v>1238</v>
      </c>
    </row>
    <row r="150" spans="1:15">
      <c r="A150" s="8" t="s">
        <v>16</v>
      </c>
      <c r="B150" s="9" t="s">
        <v>22</v>
      </c>
      <c r="C150" s="10" t="s">
        <v>18</v>
      </c>
      <c r="D150" s="8" t="s">
        <v>22</v>
      </c>
      <c r="E150" s="7" t="str">
        <f t="shared" si="10"/>
        <v>02050305</v>
      </c>
      <c r="F150" s="1" t="s">
        <v>1221</v>
      </c>
      <c r="G150" s="1" t="str">
        <f t="shared" si="13"/>
        <v>抽屉05硬质合金钻头</v>
      </c>
      <c r="H150" t="str">
        <f t="shared" si="11"/>
        <v>行号03</v>
      </c>
      <c r="I150" s="1" t="str">
        <f t="shared" si="12"/>
        <v>序号05</v>
      </c>
      <c r="J150" s="36" t="s">
        <v>733</v>
      </c>
      <c r="K150" s="39">
        <v>0</v>
      </c>
      <c r="L150" s="39">
        <v>5</v>
      </c>
      <c r="M150" s="39"/>
      <c r="N150" s="39"/>
      <c r="O150" s="32" t="s">
        <v>1234</v>
      </c>
    </row>
    <row r="151" spans="1:15">
      <c r="A151" s="8" t="s">
        <v>16</v>
      </c>
      <c r="B151" s="9" t="s">
        <v>22</v>
      </c>
      <c r="C151" s="10" t="s">
        <v>18</v>
      </c>
      <c r="D151" s="8" t="s">
        <v>24</v>
      </c>
      <c r="E151" s="7" t="str">
        <f t="shared" si="10"/>
        <v>02050306</v>
      </c>
      <c r="F151" s="1" t="s">
        <v>1221</v>
      </c>
      <c r="G151" s="1" t="str">
        <f t="shared" si="13"/>
        <v>抽屉05硬质合金钻头</v>
      </c>
      <c r="H151" t="str">
        <f t="shared" si="11"/>
        <v>行号03</v>
      </c>
      <c r="I151" s="1" t="str">
        <f t="shared" si="12"/>
        <v>序号06</v>
      </c>
      <c r="J151" s="36" t="s">
        <v>734</v>
      </c>
      <c r="K151" s="39">
        <v>0</v>
      </c>
      <c r="L151" s="39">
        <v>5</v>
      </c>
      <c r="M151" s="39"/>
      <c r="N151" s="39"/>
      <c r="O151" s="32" t="s">
        <v>1241</v>
      </c>
    </row>
    <row r="152" spans="1:15">
      <c r="A152" s="8" t="s">
        <v>16</v>
      </c>
      <c r="B152" s="9" t="s">
        <v>22</v>
      </c>
      <c r="C152" s="10" t="s">
        <v>18</v>
      </c>
      <c r="D152" s="8" t="s">
        <v>26</v>
      </c>
      <c r="E152" s="7" t="str">
        <f t="shared" si="10"/>
        <v>02050307</v>
      </c>
      <c r="F152" s="1" t="s">
        <v>1221</v>
      </c>
      <c r="G152" s="1" t="str">
        <f t="shared" si="13"/>
        <v>抽屉05硬质合金钻头</v>
      </c>
      <c r="H152" t="str">
        <f t="shared" si="11"/>
        <v>行号03</v>
      </c>
      <c r="I152" s="1" t="str">
        <f t="shared" si="12"/>
        <v>序号07</v>
      </c>
      <c r="J152" s="36" t="s">
        <v>735</v>
      </c>
      <c r="K152" s="39">
        <v>0</v>
      </c>
      <c r="L152" s="39">
        <v>5</v>
      </c>
      <c r="M152" s="39"/>
      <c r="N152" s="39"/>
      <c r="O152" s="32" t="s">
        <v>1238</v>
      </c>
    </row>
    <row r="153" spans="1:15">
      <c r="A153" s="8" t="s">
        <v>16</v>
      </c>
      <c r="B153" s="9" t="s">
        <v>22</v>
      </c>
      <c r="C153" s="10" t="s">
        <v>18</v>
      </c>
      <c r="D153" s="8" t="s">
        <v>28</v>
      </c>
      <c r="E153" s="7" t="str">
        <f t="shared" si="10"/>
        <v>02050308</v>
      </c>
      <c r="F153" s="1" t="s">
        <v>1221</v>
      </c>
      <c r="G153" s="1" t="str">
        <f t="shared" si="13"/>
        <v>抽屉05硬质合金钻头</v>
      </c>
      <c r="H153" t="str">
        <f t="shared" si="11"/>
        <v>行号03</v>
      </c>
      <c r="I153" s="1" t="str">
        <f t="shared" si="12"/>
        <v>序号08</v>
      </c>
      <c r="J153" s="36" t="s">
        <v>736</v>
      </c>
      <c r="K153" s="39">
        <v>0</v>
      </c>
      <c r="L153" s="39">
        <v>5</v>
      </c>
      <c r="M153" s="39"/>
      <c r="N153" s="39"/>
      <c r="O153" s="32" t="s">
        <v>1234</v>
      </c>
    </row>
    <row r="154" spans="1:15">
      <c r="A154" s="8" t="s">
        <v>16</v>
      </c>
      <c r="B154" s="9" t="s">
        <v>22</v>
      </c>
      <c r="C154" s="8" t="s">
        <v>20</v>
      </c>
      <c r="D154" s="11" t="s">
        <v>14</v>
      </c>
      <c r="E154" s="7" t="str">
        <f t="shared" si="10"/>
        <v>02050401</v>
      </c>
      <c r="F154" s="1" t="s">
        <v>1221</v>
      </c>
      <c r="G154" s="1" t="str">
        <f t="shared" si="13"/>
        <v>抽屉05硬质合金钻头</v>
      </c>
      <c r="H154" t="str">
        <f t="shared" si="11"/>
        <v>行号04</v>
      </c>
      <c r="I154" s="1" t="str">
        <f t="shared" si="12"/>
        <v>序号01</v>
      </c>
      <c r="J154" s="37" t="s">
        <v>737</v>
      </c>
      <c r="K154" s="39">
        <v>0</v>
      </c>
      <c r="L154" s="39">
        <v>5</v>
      </c>
      <c r="M154" s="39"/>
      <c r="N154" s="39"/>
      <c r="O154" s="32" t="s">
        <v>1238</v>
      </c>
    </row>
    <row r="155" spans="1:15">
      <c r="A155" s="8" t="s">
        <v>16</v>
      </c>
      <c r="B155" s="9" t="s">
        <v>22</v>
      </c>
      <c r="C155" s="8" t="s">
        <v>20</v>
      </c>
      <c r="D155" s="11" t="s">
        <v>16</v>
      </c>
      <c r="E155" s="7" t="str">
        <f t="shared" si="10"/>
        <v>02050402</v>
      </c>
      <c r="F155" s="1" t="s">
        <v>1221</v>
      </c>
      <c r="G155" s="1" t="str">
        <f t="shared" si="13"/>
        <v>抽屉05硬质合金钻头</v>
      </c>
      <c r="H155" t="str">
        <f t="shared" si="11"/>
        <v>行号04</v>
      </c>
      <c r="I155" s="1" t="str">
        <f t="shared" si="12"/>
        <v>序号02</v>
      </c>
      <c r="J155" s="36" t="s">
        <v>738</v>
      </c>
      <c r="K155" s="39">
        <v>0</v>
      </c>
      <c r="L155" s="39">
        <v>5</v>
      </c>
      <c r="M155" s="39"/>
      <c r="N155" s="39"/>
      <c r="O155" s="32" t="s">
        <v>1234</v>
      </c>
    </row>
    <row r="156" spans="1:15">
      <c r="A156" s="8" t="s">
        <v>16</v>
      </c>
      <c r="B156" s="9" t="s">
        <v>22</v>
      </c>
      <c r="C156" s="8" t="s">
        <v>20</v>
      </c>
      <c r="D156" s="11" t="s">
        <v>18</v>
      </c>
      <c r="E156" s="7" t="str">
        <f t="shared" si="10"/>
        <v>02050403</v>
      </c>
      <c r="F156" s="1" t="s">
        <v>1221</v>
      </c>
      <c r="G156" s="1" t="str">
        <f t="shared" si="13"/>
        <v>抽屉05硬质合金钻头</v>
      </c>
      <c r="H156" t="str">
        <f t="shared" si="11"/>
        <v>行号04</v>
      </c>
      <c r="I156" s="1" t="str">
        <f t="shared" si="12"/>
        <v>序号03</v>
      </c>
      <c r="J156" s="36" t="s">
        <v>739</v>
      </c>
      <c r="K156" s="39">
        <v>0</v>
      </c>
      <c r="L156" s="39">
        <v>5</v>
      </c>
      <c r="M156" s="39"/>
      <c r="N156" s="39"/>
      <c r="O156" s="32" t="s">
        <v>1234</v>
      </c>
    </row>
    <row r="157" spans="1:15">
      <c r="A157" s="8" t="s">
        <v>16</v>
      </c>
      <c r="B157" s="9" t="s">
        <v>22</v>
      </c>
      <c r="C157" s="8" t="s">
        <v>20</v>
      </c>
      <c r="D157" s="11" t="s">
        <v>20</v>
      </c>
      <c r="E157" s="7" t="str">
        <f t="shared" si="10"/>
        <v>02050404</v>
      </c>
      <c r="F157" s="1" t="s">
        <v>1221</v>
      </c>
      <c r="G157" s="1" t="str">
        <f t="shared" si="13"/>
        <v>抽屉05硬质合金钻头</v>
      </c>
      <c r="H157" t="str">
        <f t="shared" si="11"/>
        <v>行号04</v>
      </c>
      <c r="I157" s="1" t="str">
        <f t="shared" si="12"/>
        <v>序号04</v>
      </c>
      <c r="J157" s="36" t="s">
        <v>740</v>
      </c>
      <c r="K157" s="39">
        <v>0</v>
      </c>
      <c r="L157" s="39">
        <v>5</v>
      </c>
      <c r="M157" s="39"/>
      <c r="N157" s="39"/>
      <c r="O157" s="32" t="s">
        <v>1234</v>
      </c>
    </row>
    <row r="158" spans="1:15">
      <c r="A158" s="8" t="s">
        <v>16</v>
      </c>
      <c r="B158" s="9" t="s">
        <v>22</v>
      </c>
      <c r="C158" s="8" t="s">
        <v>20</v>
      </c>
      <c r="D158" s="11" t="s">
        <v>22</v>
      </c>
      <c r="E158" s="7" t="str">
        <f t="shared" si="10"/>
        <v>02050405</v>
      </c>
      <c r="F158" s="1" t="s">
        <v>1221</v>
      </c>
      <c r="G158" s="1" t="str">
        <f t="shared" si="13"/>
        <v>抽屉05硬质合金钻头</v>
      </c>
      <c r="H158" t="str">
        <f t="shared" si="11"/>
        <v>行号04</v>
      </c>
      <c r="I158" s="1" t="str">
        <f t="shared" si="12"/>
        <v>序号05</v>
      </c>
      <c r="J158" s="36" t="s">
        <v>741</v>
      </c>
      <c r="K158" s="39">
        <v>0</v>
      </c>
      <c r="L158" s="39">
        <v>5</v>
      </c>
      <c r="M158" s="39"/>
      <c r="N158" s="39"/>
      <c r="O158" s="32" t="s">
        <v>1234</v>
      </c>
    </row>
    <row r="159" spans="1:15">
      <c r="A159" s="8" t="s">
        <v>16</v>
      </c>
      <c r="B159" s="9" t="s">
        <v>22</v>
      </c>
      <c r="C159" s="8" t="s">
        <v>20</v>
      </c>
      <c r="D159" s="11" t="s">
        <v>24</v>
      </c>
      <c r="E159" s="7" t="str">
        <f t="shared" si="10"/>
        <v>02050406</v>
      </c>
      <c r="F159" s="1" t="s">
        <v>1221</v>
      </c>
      <c r="G159" s="1" t="str">
        <f t="shared" si="13"/>
        <v>抽屉05硬质合金钻头</v>
      </c>
      <c r="H159" t="str">
        <f t="shared" si="11"/>
        <v>行号04</v>
      </c>
      <c r="I159" s="1" t="str">
        <f t="shared" si="12"/>
        <v>序号06</v>
      </c>
      <c r="J159" s="24"/>
      <c r="K159" s="41"/>
      <c r="L159" s="41"/>
      <c r="M159" s="41">
        <v>0</v>
      </c>
      <c r="N159" s="41">
        <v>0</v>
      </c>
    </row>
    <row r="160" spans="1:15">
      <c r="A160" s="8" t="s">
        <v>16</v>
      </c>
      <c r="B160" s="9" t="s">
        <v>22</v>
      </c>
      <c r="C160" s="8" t="s">
        <v>20</v>
      </c>
      <c r="D160" s="11" t="s">
        <v>26</v>
      </c>
      <c r="E160" s="7" t="str">
        <f t="shared" si="10"/>
        <v>02050407</v>
      </c>
      <c r="F160" s="1" t="s">
        <v>1221</v>
      </c>
      <c r="G160" s="1" t="str">
        <f t="shared" si="13"/>
        <v>抽屉05硬质合金钻头</v>
      </c>
      <c r="H160" t="str">
        <f t="shared" si="11"/>
        <v>行号04</v>
      </c>
      <c r="I160" s="1" t="str">
        <f t="shared" si="12"/>
        <v>序号07</v>
      </c>
      <c r="J160" s="24"/>
      <c r="K160" s="41"/>
      <c r="L160" s="41"/>
      <c r="M160" s="41">
        <v>0</v>
      </c>
      <c r="N160" s="41">
        <v>0</v>
      </c>
    </row>
    <row r="161" spans="1:15">
      <c r="A161" s="8" t="s">
        <v>16</v>
      </c>
      <c r="B161" s="9" t="s">
        <v>22</v>
      </c>
      <c r="C161" s="8" t="s">
        <v>20</v>
      </c>
      <c r="D161" s="11" t="s">
        <v>28</v>
      </c>
      <c r="E161" s="7" t="str">
        <f t="shared" si="10"/>
        <v>02050408</v>
      </c>
      <c r="F161" s="1" t="s">
        <v>1221</v>
      </c>
      <c r="G161" s="1" t="str">
        <f t="shared" si="13"/>
        <v>抽屉05硬质合金钻头</v>
      </c>
      <c r="H161" t="str">
        <f t="shared" si="11"/>
        <v>行号04</v>
      </c>
      <c r="I161" s="1" t="str">
        <f t="shared" si="12"/>
        <v>序号08</v>
      </c>
      <c r="J161" s="24"/>
      <c r="K161" s="41"/>
      <c r="L161" s="41"/>
      <c r="M161" s="41">
        <v>0</v>
      </c>
      <c r="N161" s="41">
        <v>0</v>
      </c>
    </row>
    <row r="162" spans="1:15">
      <c r="A162" s="8" t="s">
        <v>16</v>
      </c>
      <c r="B162" s="8" t="s">
        <v>24</v>
      </c>
      <c r="C162" s="10" t="s">
        <v>14</v>
      </c>
      <c r="D162" s="8" t="s">
        <v>14</v>
      </c>
      <c r="E162" s="7" t="str">
        <f t="shared" si="10"/>
        <v>02060101</v>
      </c>
      <c r="F162" s="1" t="s">
        <v>1221</v>
      </c>
      <c r="G162" s="1" t="str">
        <f>"抽屉"&amp;B162&amp;"硬质合金钻头"</f>
        <v>抽屉06硬质合金钻头</v>
      </c>
      <c r="H162" t="str">
        <f t="shared" si="11"/>
        <v>行号01</v>
      </c>
      <c r="I162" s="1" t="str">
        <f t="shared" si="12"/>
        <v>序号01</v>
      </c>
      <c r="J162" s="36" t="s">
        <v>742</v>
      </c>
      <c r="K162" s="39">
        <v>0</v>
      </c>
      <c r="L162" s="39">
        <v>5</v>
      </c>
      <c r="M162" s="39"/>
      <c r="N162" s="39"/>
      <c r="O162" s="32" t="s">
        <v>1234</v>
      </c>
    </row>
    <row r="163" spans="1:15">
      <c r="A163" s="8" t="s">
        <v>16</v>
      </c>
      <c r="B163" s="8" t="s">
        <v>24</v>
      </c>
      <c r="C163" s="10" t="s">
        <v>14</v>
      </c>
      <c r="D163" s="8" t="s">
        <v>16</v>
      </c>
      <c r="E163" s="7" t="str">
        <f t="shared" si="10"/>
        <v>02060102</v>
      </c>
      <c r="F163" s="1" t="s">
        <v>1221</v>
      </c>
      <c r="G163" s="1" t="str">
        <f t="shared" ref="G163:G193" si="14">"抽屉"&amp;B163&amp;"硬质合金钻头"</f>
        <v>抽屉06硬质合金钻头</v>
      </c>
      <c r="H163" t="str">
        <f t="shared" si="11"/>
        <v>行号01</v>
      </c>
      <c r="I163" s="1" t="str">
        <f t="shared" si="12"/>
        <v>序号02</v>
      </c>
      <c r="J163" s="36" t="s">
        <v>743</v>
      </c>
      <c r="K163" s="39">
        <v>0</v>
      </c>
      <c r="L163" s="39">
        <v>5</v>
      </c>
      <c r="M163" s="39"/>
      <c r="N163" s="39"/>
      <c r="O163" s="23" t="s">
        <v>1241</v>
      </c>
    </row>
    <row r="164" spans="1:15">
      <c r="A164" s="8" t="s">
        <v>16</v>
      </c>
      <c r="B164" s="8" t="s">
        <v>24</v>
      </c>
      <c r="C164" s="10" t="s">
        <v>14</v>
      </c>
      <c r="D164" s="8" t="s">
        <v>18</v>
      </c>
      <c r="E164" s="7" t="str">
        <f t="shared" si="10"/>
        <v>02060103</v>
      </c>
      <c r="F164" s="1" t="s">
        <v>1221</v>
      </c>
      <c r="G164" s="1" t="str">
        <f t="shared" si="14"/>
        <v>抽屉06硬质合金钻头</v>
      </c>
      <c r="H164" t="str">
        <f t="shared" si="11"/>
        <v>行号01</v>
      </c>
      <c r="I164" s="1" t="str">
        <f t="shared" si="12"/>
        <v>序号03</v>
      </c>
      <c r="J164" s="36" t="s">
        <v>744</v>
      </c>
      <c r="K164" s="39">
        <v>0</v>
      </c>
      <c r="L164" s="39">
        <v>5</v>
      </c>
      <c r="M164" s="39"/>
      <c r="N164" s="39"/>
      <c r="O164" s="23" t="s">
        <v>1237</v>
      </c>
    </row>
    <row r="165" spans="1:15">
      <c r="A165" s="8" t="s">
        <v>16</v>
      </c>
      <c r="B165" s="8" t="s">
        <v>24</v>
      </c>
      <c r="C165" s="10" t="s">
        <v>14</v>
      </c>
      <c r="D165" s="8" t="s">
        <v>20</v>
      </c>
      <c r="E165" s="7" t="str">
        <f t="shared" si="10"/>
        <v>02060104</v>
      </c>
      <c r="F165" s="1" t="s">
        <v>1221</v>
      </c>
      <c r="G165" s="1" t="str">
        <f t="shared" si="14"/>
        <v>抽屉06硬质合金钻头</v>
      </c>
      <c r="H165" t="str">
        <f t="shared" si="11"/>
        <v>行号01</v>
      </c>
      <c r="I165" s="1" t="str">
        <f t="shared" si="12"/>
        <v>序号04</v>
      </c>
      <c r="J165" s="36" t="s">
        <v>745</v>
      </c>
      <c r="K165" s="39">
        <v>0</v>
      </c>
      <c r="L165" s="39">
        <v>5</v>
      </c>
      <c r="M165" s="39"/>
      <c r="N165" s="39"/>
      <c r="O165" s="32" t="s">
        <v>1238</v>
      </c>
    </row>
    <row r="166" spans="1:15">
      <c r="A166" s="8" t="s">
        <v>16</v>
      </c>
      <c r="B166" s="8" t="s">
        <v>24</v>
      </c>
      <c r="C166" s="10" t="s">
        <v>14</v>
      </c>
      <c r="D166" s="8" t="s">
        <v>22</v>
      </c>
      <c r="E166" s="7" t="str">
        <f t="shared" si="10"/>
        <v>02060105</v>
      </c>
      <c r="F166" s="1" t="s">
        <v>1221</v>
      </c>
      <c r="G166" s="1" t="str">
        <f t="shared" si="14"/>
        <v>抽屉06硬质合金钻头</v>
      </c>
      <c r="H166" t="str">
        <f t="shared" si="11"/>
        <v>行号01</v>
      </c>
      <c r="I166" s="1" t="str">
        <f t="shared" si="12"/>
        <v>序号05</v>
      </c>
      <c r="J166" s="36" t="s">
        <v>746</v>
      </c>
      <c r="K166" s="39"/>
      <c r="L166" s="39"/>
      <c r="M166" s="39"/>
      <c r="N166" s="39"/>
      <c r="O166" s="23" t="s">
        <v>1239</v>
      </c>
    </row>
    <row r="167" spans="1:15">
      <c r="A167" s="8" t="s">
        <v>16</v>
      </c>
      <c r="B167" s="8" t="s">
        <v>24</v>
      </c>
      <c r="C167" s="10" t="s">
        <v>14</v>
      </c>
      <c r="D167" s="8" t="s">
        <v>24</v>
      </c>
      <c r="E167" s="7" t="str">
        <f t="shared" si="10"/>
        <v>02060106</v>
      </c>
      <c r="F167" s="1" t="s">
        <v>1221</v>
      </c>
      <c r="G167" s="1" t="str">
        <f t="shared" si="14"/>
        <v>抽屉06硬质合金钻头</v>
      </c>
      <c r="H167" t="str">
        <f t="shared" si="11"/>
        <v>行号01</v>
      </c>
      <c r="I167" s="1" t="str">
        <f t="shared" si="12"/>
        <v>序号06</v>
      </c>
      <c r="J167" s="36" t="s">
        <v>747</v>
      </c>
      <c r="K167" s="39">
        <v>0</v>
      </c>
      <c r="L167" s="39">
        <v>5</v>
      </c>
      <c r="M167" s="39"/>
      <c r="N167" s="39"/>
      <c r="O167" s="32" t="s">
        <v>1238</v>
      </c>
    </row>
    <row r="168" spans="1:15">
      <c r="A168" s="8" t="s">
        <v>16</v>
      </c>
      <c r="B168" s="8" t="s">
        <v>24</v>
      </c>
      <c r="C168" s="10" t="s">
        <v>14</v>
      </c>
      <c r="D168" s="8" t="s">
        <v>26</v>
      </c>
      <c r="E168" s="7" t="str">
        <f t="shared" si="10"/>
        <v>02060107</v>
      </c>
      <c r="F168" s="1" t="s">
        <v>1221</v>
      </c>
      <c r="G168" s="1" t="str">
        <f t="shared" si="14"/>
        <v>抽屉06硬质合金钻头</v>
      </c>
      <c r="H168" t="str">
        <f t="shared" si="11"/>
        <v>行号01</v>
      </c>
      <c r="I168" s="1" t="str">
        <f t="shared" si="12"/>
        <v>序号07</v>
      </c>
      <c r="J168" s="36" t="s">
        <v>748</v>
      </c>
      <c r="K168" s="39">
        <v>0</v>
      </c>
      <c r="L168" s="39">
        <v>5</v>
      </c>
      <c r="M168" s="39"/>
      <c r="N168" s="39"/>
      <c r="O168" s="23" t="s">
        <v>1239</v>
      </c>
    </row>
    <row r="169" spans="1:15">
      <c r="A169" s="8" t="s">
        <v>16</v>
      </c>
      <c r="B169" s="8" t="s">
        <v>24</v>
      </c>
      <c r="C169" s="10" t="s">
        <v>14</v>
      </c>
      <c r="D169" s="8" t="s">
        <v>28</v>
      </c>
      <c r="E169" s="7" t="str">
        <f t="shared" si="10"/>
        <v>02060108</v>
      </c>
      <c r="F169" s="1" t="s">
        <v>1221</v>
      </c>
      <c r="G169" s="1" t="str">
        <f t="shared" si="14"/>
        <v>抽屉06硬质合金钻头</v>
      </c>
      <c r="H169" t="str">
        <f t="shared" si="11"/>
        <v>行号01</v>
      </c>
      <c r="I169" s="1" t="str">
        <f t="shared" si="12"/>
        <v>序号08</v>
      </c>
      <c r="J169" s="36" t="s">
        <v>749</v>
      </c>
      <c r="K169" s="39">
        <v>0</v>
      </c>
      <c r="L169" s="39">
        <v>5</v>
      </c>
      <c r="M169" s="39"/>
      <c r="N169" s="39"/>
      <c r="O169" s="23" t="s">
        <v>1239</v>
      </c>
    </row>
    <row r="170" spans="1:15">
      <c r="A170" s="8" t="s">
        <v>16</v>
      </c>
      <c r="B170" s="8" t="s">
        <v>24</v>
      </c>
      <c r="C170" s="8" t="s">
        <v>16</v>
      </c>
      <c r="D170" s="11" t="s">
        <v>14</v>
      </c>
      <c r="E170" s="7" t="str">
        <f t="shared" si="10"/>
        <v>02060201</v>
      </c>
      <c r="F170" s="1" t="s">
        <v>1221</v>
      </c>
      <c r="G170" s="1" t="str">
        <f t="shared" si="14"/>
        <v>抽屉06硬质合金钻头</v>
      </c>
      <c r="H170" t="str">
        <f t="shared" si="11"/>
        <v>行号02</v>
      </c>
      <c r="I170" s="1" t="str">
        <f t="shared" si="12"/>
        <v>序号01</v>
      </c>
      <c r="J170" s="36" t="s">
        <v>750</v>
      </c>
      <c r="K170" s="39">
        <v>0</v>
      </c>
      <c r="L170" s="39">
        <v>5</v>
      </c>
      <c r="M170" s="39"/>
      <c r="N170" s="39"/>
      <c r="O170" s="23" t="s">
        <v>1239</v>
      </c>
    </row>
    <row r="171" spans="1:15">
      <c r="A171" s="8" t="s">
        <v>16</v>
      </c>
      <c r="B171" s="8" t="s">
        <v>24</v>
      </c>
      <c r="C171" s="8" t="s">
        <v>16</v>
      </c>
      <c r="D171" s="11" t="s">
        <v>16</v>
      </c>
      <c r="E171" s="7" t="str">
        <f t="shared" si="10"/>
        <v>02060202</v>
      </c>
      <c r="F171" s="1" t="s">
        <v>1221</v>
      </c>
      <c r="G171" s="1" t="str">
        <f t="shared" si="14"/>
        <v>抽屉06硬质合金钻头</v>
      </c>
      <c r="H171" t="str">
        <f t="shared" si="11"/>
        <v>行号02</v>
      </c>
      <c r="I171" s="1" t="str">
        <f t="shared" si="12"/>
        <v>序号02</v>
      </c>
      <c r="J171" s="36" t="s">
        <v>751</v>
      </c>
      <c r="K171" s="39">
        <v>0</v>
      </c>
      <c r="L171" s="39">
        <v>5</v>
      </c>
      <c r="M171" s="39"/>
      <c r="N171" s="39"/>
      <c r="O171" s="23" t="s">
        <v>1239</v>
      </c>
    </row>
    <row r="172" spans="1:15">
      <c r="A172" s="8" t="s">
        <v>16</v>
      </c>
      <c r="B172" s="8" t="s">
        <v>24</v>
      </c>
      <c r="C172" s="8" t="s">
        <v>16</v>
      </c>
      <c r="D172" s="11" t="s">
        <v>18</v>
      </c>
      <c r="E172" s="7" t="str">
        <f t="shared" si="10"/>
        <v>02060203</v>
      </c>
      <c r="F172" s="1" t="s">
        <v>1221</v>
      </c>
      <c r="G172" s="1" t="str">
        <f t="shared" si="14"/>
        <v>抽屉06硬质合金钻头</v>
      </c>
      <c r="H172" t="str">
        <f t="shared" si="11"/>
        <v>行号02</v>
      </c>
      <c r="I172" s="1" t="str">
        <f t="shared" si="12"/>
        <v>序号03</v>
      </c>
      <c r="J172" s="36" t="s">
        <v>752</v>
      </c>
      <c r="K172" s="39"/>
      <c r="L172" s="39"/>
      <c r="M172" s="39"/>
      <c r="N172" s="39"/>
      <c r="O172" s="23" t="s">
        <v>1239</v>
      </c>
    </row>
    <row r="173" spans="1:15">
      <c r="A173" s="8" t="s">
        <v>16</v>
      </c>
      <c r="B173" s="8" t="s">
        <v>24</v>
      </c>
      <c r="C173" s="8" t="s">
        <v>16</v>
      </c>
      <c r="D173" s="11" t="s">
        <v>20</v>
      </c>
      <c r="E173" s="7" t="str">
        <f t="shared" si="10"/>
        <v>02060204</v>
      </c>
      <c r="F173" s="1" t="s">
        <v>1221</v>
      </c>
      <c r="G173" s="1" t="str">
        <f t="shared" si="14"/>
        <v>抽屉06硬质合金钻头</v>
      </c>
      <c r="H173" t="str">
        <f t="shared" si="11"/>
        <v>行号02</v>
      </c>
      <c r="I173" s="1" t="str">
        <f t="shared" si="12"/>
        <v>序号04</v>
      </c>
      <c r="J173" s="36" t="s">
        <v>753</v>
      </c>
      <c r="K173" s="39">
        <v>0</v>
      </c>
      <c r="L173" s="39">
        <v>5</v>
      </c>
      <c r="M173" s="39"/>
      <c r="N173" s="39"/>
      <c r="O173" s="23" t="s">
        <v>1239</v>
      </c>
    </row>
    <row r="174" spans="1:15">
      <c r="A174" s="8" t="s">
        <v>16</v>
      </c>
      <c r="B174" s="8" t="s">
        <v>24</v>
      </c>
      <c r="C174" s="8" t="s">
        <v>16</v>
      </c>
      <c r="D174" s="11" t="s">
        <v>22</v>
      </c>
      <c r="E174" s="7" t="str">
        <f t="shared" si="10"/>
        <v>02060205</v>
      </c>
      <c r="F174" s="1" t="s">
        <v>1221</v>
      </c>
      <c r="G174" s="1" t="str">
        <f t="shared" si="14"/>
        <v>抽屉06硬质合金钻头</v>
      </c>
      <c r="H174" t="str">
        <f t="shared" si="11"/>
        <v>行号02</v>
      </c>
      <c r="I174" s="1" t="str">
        <f t="shared" si="12"/>
        <v>序号05</v>
      </c>
      <c r="J174" s="36" t="s">
        <v>754</v>
      </c>
      <c r="K174" s="39">
        <v>0</v>
      </c>
      <c r="L174" s="39">
        <v>5</v>
      </c>
      <c r="M174" s="39"/>
      <c r="N174" s="39"/>
      <c r="O174" s="32" t="s">
        <v>1238</v>
      </c>
    </row>
    <row r="175" spans="1:15">
      <c r="A175" s="8" t="s">
        <v>16</v>
      </c>
      <c r="B175" s="8" t="s">
        <v>24</v>
      </c>
      <c r="C175" s="8" t="s">
        <v>16</v>
      </c>
      <c r="D175" s="11" t="s">
        <v>24</v>
      </c>
      <c r="E175" s="7" t="str">
        <f t="shared" si="10"/>
        <v>02060206</v>
      </c>
      <c r="F175" s="1" t="s">
        <v>1221</v>
      </c>
      <c r="G175" s="1" t="str">
        <f t="shared" si="14"/>
        <v>抽屉06硬质合金钻头</v>
      </c>
      <c r="H175" t="str">
        <f t="shared" si="11"/>
        <v>行号02</v>
      </c>
      <c r="I175" s="1" t="str">
        <f t="shared" si="12"/>
        <v>序号06</v>
      </c>
      <c r="J175" s="36" t="s">
        <v>755</v>
      </c>
      <c r="K175" s="39">
        <v>0</v>
      </c>
      <c r="L175" s="39">
        <v>5</v>
      </c>
      <c r="M175" s="39"/>
      <c r="N175" s="39"/>
      <c r="O175" s="23" t="s">
        <v>1234</v>
      </c>
    </row>
    <row r="176" spans="1:15">
      <c r="A176" s="8" t="s">
        <v>16</v>
      </c>
      <c r="B176" s="8" t="s">
        <v>24</v>
      </c>
      <c r="C176" s="8" t="s">
        <v>16</v>
      </c>
      <c r="D176" s="11" t="s">
        <v>26</v>
      </c>
      <c r="E176" s="7" t="str">
        <f t="shared" si="10"/>
        <v>02060207</v>
      </c>
      <c r="F176" s="1" t="s">
        <v>1221</v>
      </c>
      <c r="G176" s="1" t="str">
        <f t="shared" si="14"/>
        <v>抽屉06硬质合金钻头</v>
      </c>
      <c r="H176" t="str">
        <f t="shared" si="11"/>
        <v>行号02</v>
      </c>
      <c r="I176" s="1" t="str">
        <f t="shared" si="12"/>
        <v>序号07</v>
      </c>
      <c r="J176" s="36" t="s">
        <v>756</v>
      </c>
      <c r="K176" s="39">
        <v>0</v>
      </c>
      <c r="L176" s="39">
        <v>5</v>
      </c>
      <c r="M176" s="39"/>
      <c r="N176" s="39"/>
      <c r="O176" s="23" t="s">
        <v>1239</v>
      </c>
    </row>
    <row r="177" spans="1:15">
      <c r="A177" s="8" t="s">
        <v>16</v>
      </c>
      <c r="B177" s="8" t="s">
        <v>24</v>
      </c>
      <c r="C177" s="8" t="s">
        <v>16</v>
      </c>
      <c r="D177" s="11" t="s">
        <v>28</v>
      </c>
      <c r="E177" s="7" t="str">
        <f t="shared" si="10"/>
        <v>02060208</v>
      </c>
      <c r="F177" s="1" t="s">
        <v>1221</v>
      </c>
      <c r="G177" s="1" t="str">
        <f t="shared" si="14"/>
        <v>抽屉06硬质合金钻头</v>
      </c>
      <c r="H177" t="str">
        <f t="shared" si="11"/>
        <v>行号02</v>
      </c>
      <c r="I177" s="1" t="str">
        <f t="shared" si="12"/>
        <v>序号08</v>
      </c>
      <c r="J177" s="36" t="s">
        <v>757</v>
      </c>
      <c r="K177" s="39"/>
      <c r="L177" s="39"/>
      <c r="M177" s="39"/>
      <c r="N177" s="39"/>
      <c r="O177" s="23" t="s">
        <v>1239</v>
      </c>
    </row>
    <row r="178" spans="1:15">
      <c r="A178" s="8" t="s">
        <v>16</v>
      </c>
      <c r="B178" s="8" t="s">
        <v>24</v>
      </c>
      <c r="C178" s="10" t="s">
        <v>18</v>
      </c>
      <c r="D178" s="8" t="s">
        <v>14</v>
      </c>
      <c r="E178" s="7" t="str">
        <f t="shared" si="10"/>
        <v>02060301</v>
      </c>
      <c r="F178" s="1" t="s">
        <v>1221</v>
      </c>
      <c r="G178" s="1" t="str">
        <f t="shared" si="14"/>
        <v>抽屉06硬质合金钻头</v>
      </c>
      <c r="H178" t="str">
        <f t="shared" si="11"/>
        <v>行号03</v>
      </c>
      <c r="I178" s="1" t="str">
        <f t="shared" si="12"/>
        <v>序号01</v>
      </c>
      <c r="J178" s="36" t="s">
        <v>758</v>
      </c>
      <c r="K178" s="39">
        <v>0</v>
      </c>
      <c r="L178" s="39">
        <v>5</v>
      </c>
      <c r="M178" s="39"/>
      <c r="N178" s="39"/>
      <c r="O178" s="32" t="s">
        <v>1238</v>
      </c>
    </row>
    <row r="179" spans="1:15">
      <c r="A179" s="8" t="s">
        <v>16</v>
      </c>
      <c r="B179" s="8" t="s">
        <v>24</v>
      </c>
      <c r="C179" s="10" t="s">
        <v>18</v>
      </c>
      <c r="D179" s="8" t="s">
        <v>16</v>
      </c>
      <c r="E179" s="7" t="str">
        <f t="shared" si="10"/>
        <v>02060302</v>
      </c>
      <c r="F179" s="1" t="s">
        <v>1221</v>
      </c>
      <c r="G179" s="1" t="str">
        <f t="shared" si="14"/>
        <v>抽屉06硬质合金钻头</v>
      </c>
      <c r="H179" t="str">
        <f t="shared" si="11"/>
        <v>行号03</v>
      </c>
      <c r="I179" s="1" t="str">
        <f t="shared" si="12"/>
        <v>序号02</v>
      </c>
      <c r="J179" s="36" t="s">
        <v>759</v>
      </c>
      <c r="K179" s="39">
        <v>0</v>
      </c>
      <c r="L179" s="39">
        <v>5</v>
      </c>
      <c r="M179" s="39"/>
      <c r="N179" s="39"/>
      <c r="O179" s="23" t="s">
        <v>1241</v>
      </c>
    </row>
    <row r="180" spans="1:15">
      <c r="A180" s="8" t="s">
        <v>16</v>
      </c>
      <c r="B180" s="8" t="s">
        <v>24</v>
      </c>
      <c r="C180" s="10" t="s">
        <v>18</v>
      </c>
      <c r="D180" s="8" t="s">
        <v>18</v>
      </c>
      <c r="E180" s="7" t="str">
        <f t="shared" si="10"/>
        <v>02060303</v>
      </c>
      <c r="F180" s="1" t="s">
        <v>1221</v>
      </c>
      <c r="G180" s="1" t="str">
        <f t="shared" si="14"/>
        <v>抽屉06硬质合金钻头</v>
      </c>
      <c r="H180" t="str">
        <f t="shared" si="11"/>
        <v>行号03</v>
      </c>
      <c r="I180" s="1" t="str">
        <f t="shared" si="12"/>
        <v>序号03</v>
      </c>
      <c r="J180" s="36" t="s">
        <v>760</v>
      </c>
      <c r="K180" s="39">
        <v>0</v>
      </c>
      <c r="L180" s="39">
        <v>5</v>
      </c>
      <c r="M180" s="39"/>
      <c r="N180" s="39"/>
      <c r="O180" s="23" t="s">
        <v>1234</v>
      </c>
    </row>
    <row r="181" spans="1:15">
      <c r="A181" s="8" t="s">
        <v>16</v>
      </c>
      <c r="B181" s="8" t="s">
        <v>24</v>
      </c>
      <c r="C181" s="10" t="s">
        <v>18</v>
      </c>
      <c r="D181" s="8" t="s">
        <v>20</v>
      </c>
      <c r="E181" s="7" t="str">
        <f t="shared" si="10"/>
        <v>02060304</v>
      </c>
      <c r="F181" s="1" t="s">
        <v>1221</v>
      </c>
      <c r="G181" s="1" t="str">
        <f t="shared" si="14"/>
        <v>抽屉06硬质合金钻头</v>
      </c>
      <c r="H181" t="str">
        <f t="shared" si="11"/>
        <v>行号03</v>
      </c>
      <c r="I181" s="1" t="str">
        <f t="shared" si="12"/>
        <v>序号04</v>
      </c>
      <c r="J181" s="36" t="s">
        <v>761</v>
      </c>
      <c r="K181" s="39">
        <v>0</v>
      </c>
      <c r="L181" s="39">
        <v>5</v>
      </c>
      <c r="M181" s="39"/>
      <c r="N181" s="39"/>
      <c r="O181" s="23" t="s">
        <v>1239</v>
      </c>
    </row>
    <row r="182" spans="1:15">
      <c r="A182" s="8" t="s">
        <v>16</v>
      </c>
      <c r="B182" s="8" t="s">
        <v>24</v>
      </c>
      <c r="C182" s="10" t="s">
        <v>18</v>
      </c>
      <c r="D182" s="8" t="s">
        <v>22</v>
      </c>
      <c r="E182" s="7" t="str">
        <f t="shared" si="10"/>
        <v>02060305</v>
      </c>
      <c r="F182" s="1" t="s">
        <v>1221</v>
      </c>
      <c r="G182" s="1" t="str">
        <f t="shared" si="14"/>
        <v>抽屉06硬质合金钻头</v>
      </c>
      <c r="H182" t="str">
        <f t="shared" si="11"/>
        <v>行号03</v>
      </c>
      <c r="I182" s="1" t="str">
        <f t="shared" si="12"/>
        <v>序号05</v>
      </c>
      <c r="J182" s="36" t="s">
        <v>762</v>
      </c>
      <c r="K182" s="39">
        <v>0</v>
      </c>
      <c r="L182" s="39">
        <v>5</v>
      </c>
      <c r="M182" s="39"/>
      <c r="N182" s="39"/>
      <c r="O182" s="23" t="s">
        <v>1239</v>
      </c>
    </row>
    <row r="183" spans="1:15">
      <c r="A183" s="8" t="s">
        <v>16</v>
      </c>
      <c r="B183" s="8" t="s">
        <v>24</v>
      </c>
      <c r="C183" s="10" t="s">
        <v>18</v>
      </c>
      <c r="D183" s="8" t="s">
        <v>24</v>
      </c>
      <c r="E183" s="7" t="str">
        <f t="shared" si="10"/>
        <v>02060306</v>
      </c>
      <c r="F183" s="1" t="s">
        <v>1221</v>
      </c>
      <c r="G183" s="1" t="str">
        <f t="shared" si="14"/>
        <v>抽屉06硬质合金钻头</v>
      </c>
      <c r="H183" t="str">
        <f t="shared" si="11"/>
        <v>行号03</v>
      </c>
      <c r="I183" s="1" t="str">
        <f t="shared" si="12"/>
        <v>序号06</v>
      </c>
      <c r="J183" s="36" t="s">
        <v>763</v>
      </c>
      <c r="K183" s="39"/>
      <c r="L183" s="39"/>
      <c r="M183" s="39"/>
      <c r="N183" s="39"/>
      <c r="O183" s="23" t="s">
        <v>1239</v>
      </c>
    </row>
    <row r="184" spans="1:15">
      <c r="A184" s="8" t="s">
        <v>16</v>
      </c>
      <c r="B184" s="8" t="s">
        <v>24</v>
      </c>
      <c r="C184" s="10" t="s">
        <v>18</v>
      </c>
      <c r="D184" s="8" t="s">
        <v>26</v>
      </c>
      <c r="E184" s="7" t="str">
        <f t="shared" si="10"/>
        <v>02060307</v>
      </c>
      <c r="F184" s="1" t="s">
        <v>1221</v>
      </c>
      <c r="G184" s="1" t="str">
        <f t="shared" si="14"/>
        <v>抽屉06硬质合金钻头</v>
      </c>
      <c r="H184" t="str">
        <f t="shared" si="11"/>
        <v>行号03</v>
      </c>
      <c r="I184" s="1" t="str">
        <f t="shared" si="12"/>
        <v>序号07</v>
      </c>
      <c r="J184" s="36" t="s">
        <v>764</v>
      </c>
      <c r="K184" s="39">
        <v>0</v>
      </c>
      <c r="L184" s="39">
        <v>5</v>
      </c>
      <c r="M184" s="39"/>
      <c r="N184" s="39"/>
      <c r="O184" s="23" t="s">
        <v>1239</v>
      </c>
    </row>
    <row r="185" spans="1:15">
      <c r="A185" s="8" t="s">
        <v>16</v>
      </c>
      <c r="B185" s="8" t="s">
        <v>24</v>
      </c>
      <c r="C185" s="10" t="s">
        <v>18</v>
      </c>
      <c r="D185" s="8" t="s">
        <v>28</v>
      </c>
      <c r="E185" s="7" t="str">
        <f t="shared" si="10"/>
        <v>02060308</v>
      </c>
      <c r="F185" s="1" t="s">
        <v>1221</v>
      </c>
      <c r="G185" s="1" t="str">
        <f t="shared" si="14"/>
        <v>抽屉06硬质合金钻头</v>
      </c>
      <c r="H185" t="str">
        <f t="shared" si="11"/>
        <v>行号03</v>
      </c>
      <c r="I185" s="1" t="str">
        <f t="shared" si="12"/>
        <v>序号08</v>
      </c>
      <c r="J185" s="36" t="s">
        <v>765</v>
      </c>
      <c r="K185" s="39">
        <v>0</v>
      </c>
      <c r="L185" s="39">
        <v>5</v>
      </c>
      <c r="M185" s="39"/>
      <c r="N185" s="39"/>
      <c r="O185" s="23" t="s">
        <v>1239</v>
      </c>
    </row>
    <row r="186" spans="1:15">
      <c r="A186" s="8" t="s">
        <v>16</v>
      </c>
      <c r="B186" s="8" t="s">
        <v>24</v>
      </c>
      <c r="C186" s="8" t="s">
        <v>20</v>
      </c>
      <c r="D186" s="11" t="s">
        <v>14</v>
      </c>
      <c r="E186" s="7" t="str">
        <f t="shared" si="10"/>
        <v>02060401</v>
      </c>
      <c r="F186" s="1" t="s">
        <v>1221</v>
      </c>
      <c r="G186" s="1" t="str">
        <f t="shared" si="14"/>
        <v>抽屉06硬质合金钻头</v>
      </c>
      <c r="H186" t="str">
        <f t="shared" si="11"/>
        <v>行号04</v>
      </c>
      <c r="I186" s="1" t="str">
        <f t="shared" si="12"/>
        <v>序号01</v>
      </c>
      <c r="J186" s="36" t="s">
        <v>766</v>
      </c>
      <c r="K186" s="39">
        <v>0</v>
      </c>
      <c r="L186" s="39">
        <v>5</v>
      </c>
      <c r="M186" s="39"/>
      <c r="N186" s="39"/>
      <c r="O186" s="23" t="s">
        <v>1234</v>
      </c>
    </row>
    <row r="187" spans="1:15">
      <c r="A187" s="8" t="s">
        <v>16</v>
      </c>
      <c r="B187" s="8" t="s">
        <v>24</v>
      </c>
      <c r="C187" s="8" t="s">
        <v>20</v>
      </c>
      <c r="D187" s="11" t="s">
        <v>16</v>
      </c>
      <c r="E187" s="7" t="str">
        <f t="shared" si="10"/>
        <v>02060402</v>
      </c>
      <c r="F187" s="1" t="s">
        <v>1221</v>
      </c>
      <c r="G187" s="1" t="str">
        <f t="shared" si="14"/>
        <v>抽屉06硬质合金钻头</v>
      </c>
      <c r="H187" t="str">
        <f t="shared" si="11"/>
        <v>行号04</v>
      </c>
      <c r="I187" s="1" t="str">
        <f t="shared" si="12"/>
        <v>序号02</v>
      </c>
      <c r="J187" s="36" t="s">
        <v>767</v>
      </c>
      <c r="K187" s="39">
        <v>0</v>
      </c>
      <c r="L187" s="39">
        <v>5</v>
      </c>
      <c r="M187" s="39"/>
      <c r="N187" s="39"/>
      <c r="O187" s="23" t="s">
        <v>1234</v>
      </c>
    </row>
    <row r="188" spans="1:15">
      <c r="A188" s="8" t="s">
        <v>16</v>
      </c>
      <c r="B188" s="8" t="s">
        <v>24</v>
      </c>
      <c r="C188" s="8" t="s">
        <v>20</v>
      </c>
      <c r="D188" s="11" t="s">
        <v>18</v>
      </c>
      <c r="E188" s="7" t="str">
        <f t="shared" si="10"/>
        <v>02060403</v>
      </c>
      <c r="F188" s="1" t="s">
        <v>1221</v>
      </c>
      <c r="G188" s="1" t="str">
        <f t="shared" si="14"/>
        <v>抽屉06硬质合金钻头</v>
      </c>
      <c r="H188" t="str">
        <f t="shared" si="11"/>
        <v>行号04</v>
      </c>
      <c r="I188" s="1" t="str">
        <f t="shared" si="12"/>
        <v>序号03</v>
      </c>
      <c r="J188" s="36" t="s">
        <v>768</v>
      </c>
      <c r="K188" s="39">
        <v>0</v>
      </c>
      <c r="L188" s="39">
        <v>5</v>
      </c>
      <c r="M188" s="39"/>
      <c r="N188" s="39"/>
      <c r="O188" s="23" t="s">
        <v>1234</v>
      </c>
    </row>
    <row r="189" spans="1:15">
      <c r="A189" s="8" t="s">
        <v>16</v>
      </c>
      <c r="B189" s="8" t="s">
        <v>24</v>
      </c>
      <c r="C189" s="8" t="s">
        <v>20</v>
      </c>
      <c r="D189" s="11" t="s">
        <v>20</v>
      </c>
      <c r="E189" s="7" t="str">
        <f t="shared" si="10"/>
        <v>02060404</v>
      </c>
      <c r="F189" s="1" t="s">
        <v>1221</v>
      </c>
      <c r="G189" s="1" t="str">
        <f t="shared" si="14"/>
        <v>抽屉06硬质合金钻头</v>
      </c>
      <c r="H189" t="str">
        <f t="shared" si="11"/>
        <v>行号04</v>
      </c>
      <c r="I189" s="1" t="str">
        <f t="shared" si="12"/>
        <v>序号04</v>
      </c>
      <c r="J189" s="36" t="s">
        <v>769</v>
      </c>
      <c r="K189" s="39">
        <v>0</v>
      </c>
      <c r="L189" s="39">
        <v>5</v>
      </c>
      <c r="M189" s="39"/>
      <c r="N189" s="39"/>
      <c r="O189" s="23" t="s">
        <v>1235</v>
      </c>
    </row>
    <row r="190" spans="1:15">
      <c r="A190" s="8" t="s">
        <v>16</v>
      </c>
      <c r="B190" s="8" t="s">
        <v>24</v>
      </c>
      <c r="C190" s="8" t="s">
        <v>20</v>
      </c>
      <c r="D190" s="11" t="s">
        <v>22</v>
      </c>
      <c r="E190" s="7" t="str">
        <f t="shared" si="10"/>
        <v>02060405</v>
      </c>
      <c r="F190" s="1" t="s">
        <v>1221</v>
      </c>
      <c r="G190" s="1" t="str">
        <f t="shared" si="14"/>
        <v>抽屉06硬质合金钻头</v>
      </c>
      <c r="H190" t="str">
        <f t="shared" si="11"/>
        <v>行号04</v>
      </c>
      <c r="I190" s="1" t="str">
        <f t="shared" si="12"/>
        <v>序号05</v>
      </c>
      <c r="J190" s="36" t="s">
        <v>770</v>
      </c>
      <c r="K190" s="39">
        <v>0</v>
      </c>
      <c r="L190" s="39">
        <v>5</v>
      </c>
      <c r="M190" s="39"/>
      <c r="N190" s="39"/>
      <c r="O190" s="23" t="s">
        <v>1239</v>
      </c>
    </row>
    <row r="191" spans="1:15">
      <c r="A191" s="8" t="s">
        <v>16</v>
      </c>
      <c r="B191" s="8" t="s">
        <v>24</v>
      </c>
      <c r="C191" s="8" t="s">
        <v>20</v>
      </c>
      <c r="D191" s="11" t="s">
        <v>24</v>
      </c>
      <c r="E191" s="7" t="str">
        <f t="shared" si="10"/>
        <v>02060406</v>
      </c>
      <c r="F191" s="1" t="s">
        <v>1221</v>
      </c>
      <c r="G191" s="1" t="str">
        <f t="shared" si="14"/>
        <v>抽屉06硬质合金钻头</v>
      </c>
      <c r="H191" t="str">
        <f t="shared" si="11"/>
        <v>行号04</v>
      </c>
      <c r="I191" s="1" t="str">
        <f t="shared" si="12"/>
        <v>序号06</v>
      </c>
      <c r="J191" s="36" t="s">
        <v>771</v>
      </c>
      <c r="K191" s="39">
        <v>0</v>
      </c>
      <c r="L191" s="39">
        <v>5</v>
      </c>
      <c r="M191" s="39"/>
      <c r="N191" s="39"/>
      <c r="O191" s="23" t="s">
        <v>1239</v>
      </c>
    </row>
    <row r="192" spans="1:15">
      <c r="A192" s="8" t="s">
        <v>16</v>
      </c>
      <c r="B192" s="8" t="s">
        <v>24</v>
      </c>
      <c r="C192" s="8" t="s">
        <v>20</v>
      </c>
      <c r="D192" s="11" t="s">
        <v>26</v>
      </c>
      <c r="E192" s="7" t="str">
        <f t="shared" si="10"/>
        <v>02060407</v>
      </c>
      <c r="F192" s="1" t="s">
        <v>1221</v>
      </c>
      <c r="G192" s="1" t="str">
        <f t="shared" si="14"/>
        <v>抽屉06硬质合金钻头</v>
      </c>
      <c r="H192" t="str">
        <f t="shared" si="11"/>
        <v>行号04</v>
      </c>
      <c r="I192" s="1" t="str">
        <f t="shared" si="12"/>
        <v>序号07</v>
      </c>
      <c r="J192" s="36" t="s">
        <v>634</v>
      </c>
      <c r="K192" s="39">
        <v>0</v>
      </c>
      <c r="L192" s="39">
        <v>5</v>
      </c>
      <c r="M192" s="39"/>
      <c r="N192" s="39"/>
      <c r="O192" s="23" t="s">
        <v>1241</v>
      </c>
    </row>
    <row r="193" spans="1:15">
      <c r="A193" s="8" t="s">
        <v>16</v>
      </c>
      <c r="B193" s="8" t="s">
        <v>24</v>
      </c>
      <c r="C193" s="8" t="s">
        <v>20</v>
      </c>
      <c r="D193" s="11" t="s">
        <v>28</v>
      </c>
      <c r="E193" s="7" t="str">
        <f t="shared" si="10"/>
        <v>02060408</v>
      </c>
      <c r="F193" s="1" t="s">
        <v>1221</v>
      </c>
      <c r="G193" s="1" t="str">
        <f t="shared" si="14"/>
        <v>抽屉06硬质合金钻头</v>
      </c>
      <c r="H193" t="str">
        <f t="shared" si="11"/>
        <v>行号04</v>
      </c>
      <c r="I193" s="1" t="str">
        <f t="shared" si="12"/>
        <v>序号08</v>
      </c>
      <c r="J193" s="36" t="s">
        <v>772</v>
      </c>
      <c r="K193" s="39">
        <v>0</v>
      </c>
      <c r="L193" s="39">
        <v>5</v>
      </c>
      <c r="M193" s="39"/>
      <c r="N193" s="39"/>
      <c r="O193" s="32" t="s">
        <v>1238</v>
      </c>
    </row>
    <row r="194" spans="1:15">
      <c r="A194" s="8" t="s">
        <v>16</v>
      </c>
      <c r="B194" s="9" t="s">
        <v>26</v>
      </c>
      <c r="C194" s="10" t="s">
        <v>14</v>
      </c>
      <c r="D194" s="8" t="s">
        <v>14</v>
      </c>
      <c r="E194" s="7" t="str">
        <f t="shared" ref="E194:E258" si="15">A194&amp;B194&amp;C194&amp;D194</f>
        <v>02070101</v>
      </c>
      <c r="F194" s="1" t="s">
        <v>1221</v>
      </c>
      <c r="G194" s="1" t="str">
        <f>"抽屉"&amp;B194&amp;"硬质合金钻头"</f>
        <v>抽屉07硬质合金钻头</v>
      </c>
      <c r="H194" t="str">
        <f t="shared" ref="H194:H258" si="16">"行号"&amp;C194</f>
        <v>行号01</v>
      </c>
      <c r="I194" s="1" t="str">
        <f t="shared" ref="I194:I258" si="17">"序号"&amp;D194</f>
        <v>序号01</v>
      </c>
      <c r="J194" s="36" t="s">
        <v>773</v>
      </c>
      <c r="K194" s="39"/>
      <c r="L194" s="39"/>
      <c r="M194" s="39"/>
      <c r="N194" s="39"/>
      <c r="O194" s="23" t="s">
        <v>1235</v>
      </c>
    </row>
    <row r="195" spans="1:15">
      <c r="A195" s="8" t="s">
        <v>16</v>
      </c>
      <c r="B195" s="9" t="s">
        <v>26</v>
      </c>
      <c r="C195" s="10" t="s">
        <v>14</v>
      </c>
      <c r="D195" s="8" t="s">
        <v>16</v>
      </c>
      <c r="E195" s="7" t="str">
        <f t="shared" si="15"/>
        <v>02070102</v>
      </c>
      <c r="F195" s="1" t="s">
        <v>1221</v>
      </c>
      <c r="G195" s="1" t="str">
        <f t="shared" ref="G195:G225" si="18">"抽屉"&amp;B195&amp;"硬质合金钻头"</f>
        <v>抽屉07硬质合金钻头</v>
      </c>
      <c r="H195" t="str">
        <f t="shared" si="16"/>
        <v>行号01</v>
      </c>
      <c r="I195" s="1" t="str">
        <f t="shared" si="17"/>
        <v>序号02</v>
      </c>
      <c r="J195" s="36" t="s">
        <v>774</v>
      </c>
      <c r="K195" s="39">
        <v>0</v>
      </c>
      <c r="L195" s="39">
        <v>5</v>
      </c>
      <c r="M195" s="39"/>
      <c r="N195" s="39"/>
      <c r="O195" s="23" t="s">
        <v>1235</v>
      </c>
    </row>
    <row r="196" spans="1:15">
      <c r="A196" s="8" t="s">
        <v>16</v>
      </c>
      <c r="B196" s="9" t="s">
        <v>26</v>
      </c>
      <c r="C196" s="10" t="s">
        <v>14</v>
      </c>
      <c r="D196" s="8" t="s">
        <v>18</v>
      </c>
      <c r="E196" s="7" t="str">
        <f t="shared" si="15"/>
        <v>02070103</v>
      </c>
      <c r="F196" s="1" t="s">
        <v>1221</v>
      </c>
      <c r="G196" s="1" t="str">
        <f t="shared" si="18"/>
        <v>抽屉07硬质合金钻头</v>
      </c>
      <c r="H196" t="str">
        <f t="shared" si="16"/>
        <v>行号01</v>
      </c>
      <c r="I196" s="1" t="str">
        <f t="shared" si="17"/>
        <v>序号03</v>
      </c>
      <c r="J196" s="36" t="s">
        <v>1220</v>
      </c>
      <c r="K196" s="39">
        <v>0</v>
      </c>
      <c r="L196" s="39">
        <v>5</v>
      </c>
      <c r="M196" s="39"/>
      <c r="N196" s="39"/>
      <c r="O196" s="23" t="s">
        <v>1235</v>
      </c>
    </row>
    <row r="197" spans="1:15">
      <c r="A197" s="8" t="s">
        <v>16</v>
      </c>
      <c r="B197" s="9" t="s">
        <v>26</v>
      </c>
      <c r="C197" s="10" t="s">
        <v>14</v>
      </c>
      <c r="D197" s="8" t="s">
        <v>20</v>
      </c>
      <c r="E197" s="7" t="str">
        <f t="shared" si="15"/>
        <v>02070104</v>
      </c>
      <c r="F197" s="1" t="s">
        <v>1221</v>
      </c>
      <c r="G197" s="1" t="str">
        <f t="shared" si="18"/>
        <v>抽屉07硬质合金钻头</v>
      </c>
      <c r="H197" t="str">
        <f t="shared" si="16"/>
        <v>行号01</v>
      </c>
      <c r="I197" s="1" t="str">
        <f t="shared" si="17"/>
        <v>序号04</v>
      </c>
      <c r="J197" s="36" t="s">
        <v>775</v>
      </c>
      <c r="K197" s="39"/>
      <c r="L197" s="39"/>
      <c r="M197" s="39"/>
      <c r="N197" s="39"/>
      <c r="O197" s="23" t="s">
        <v>1235</v>
      </c>
    </row>
    <row r="198" spans="1:15">
      <c r="A198" s="8" t="s">
        <v>16</v>
      </c>
      <c r="B198" s="9" t="s">
        <v>26</v>
      </c>
      <c r="C198" s="10" t="s">
        <v>14</v>
      </c>
      <c r="D198" s="8" t="s">
        <v>22</v>
      </c>
      <c r="E198" s="7" t="str">
        <f t="shared" si="15"/>
        <v>02070105</v>
      </c>
      <c r="F198" s="1" t="s">
        <v>1221</v>
      </c>
      <c r="G198" s="1" t="str">
        <f t="shared" si="18"/>
        <v>抽屉07硬质合金钻头</v>
      </c>
      <c r="H198" t="str">
        <f t="shared" si="16"/>
        <v>行号01</v>
      </c>
      <c r="I198" s="1" t="str">
        <f t="shared" si="17"/>
        <v>序号05</v>
      </c>
      <c r="J198" s="36" t="s">
        <v>776</v>
      </c>
      <c r="K198" s="39"/>
      <c r="L198" s="39"/>
      <c r="M198" s="39"/>
      <c r="N198" s="39"/>
      <c r="O198" s="23" t="s">
        <v>1235</v>
      </c>
    </row>
    <row r="199" spans="1:15">
      <c r="A199" s="8" t="s">
        <v>16</v>
      </c>
      <c r="B199" s="9" t="s">
        <v>26</v>
      </c>
      <c r="C199" s="10" t="s">
        <v>14</v>
      </c>
      <c r="D199" s="8" t="s">
        <v>24</v>
      </c>
      <c r="E199" s="7" t="str">
        <f t="shared" si="15"/>
        <v>02070106</v>
      </c>
      <c r="F199" s="1" t="s">
        <v>1221</v>
      </c>
      <c r="G199" s="1" t="str">
        <f t="shared" si="18"/>
        <v>抽屉07硬质合金钻头</v>
      </c>
      <c r="H199" t="str">
        <f t="shared" si="16"/>
        <v>行号01</v>
      </c>
      <c r="I199" s="1" t="str">
        <f t="shared" si="17"/>
        <v>序号06</v>
      </c>
      <c r="J199" s="36" t="s">
        <v>777</v>
      </c>
      <c r="K199" s="39"/>
      <c r="L199" s="39"/>
      <c r="M199" s="39"/>
      <c r="N199" s="39"/>
      <c r="O199" s="23" t="s">
        <v>1235</v>
      </c>
    </row>
    <row r="200" spans="1:15">
      <c r="A200" s="8" t="s">
        <v>16</v>
      </c>
      <c r="B200" s="9" t="s">
        <v>26</v>
      </c>
      <c r="C200" s="10" t="s">
        <v>14</v>
      </c>
      <c r="D200" s="8" t="s">
        <v>26</v>
      </c>
      <c r="E200" s="7" t="str">
        <f t="shared" si="15"/>
        <v>02070107</v>
      </c>
      <c r="F200" s="1" t="s">
        <v>1221</v>
      </c>
      <c r="G200" s="1" t="str">
        <f t="shared" si="18"/>
        <v>抽屉07硬质合金钻头</v>
      </c>
      <c r="H200" t="str">
        <f t="shared" si="16"/>
        <v>行号01</v>
      </c>
      <c r="I200" s="1" t="str">
        <f t="shared" si="17"/>
        <v>序号07</v>
      </c>
      <c r="J200" s="36" t="s">
        <v>778</v>
      </c>
      <c r="K200" s="39"/>
      <c r="L200" s="39"/>
      <c r="M200" s="39"/>
      <c r="N200" s="39"/>
      <c r="O200" s="23" t="s">
        <v>1235</v>
      </c>
    </row>
    <row r="201" spans="1:15">
      <c r="A201" s="8" t="s">
        <v>16</v>
      </c>
      <c r="B201" s="9" t="s">
        <v>26</v>
      </c>
      <c r="C201" s="10" t="s">
        <v>14</v>
      </c>
      <c r="D201" s="8" t="s">
        <v>28</v>
      </c>
      <c r="E201" s="7" t="str">
        <f t="shared" si="15"/>
        <v>02070108</v>
      </c>
      <c r="F201" s="1" t="s">
        <v>1221</v>
      </c>
      <c r="G201" s="1" t="str">
        <f t="shared" si="18"/>
        <v>抽屉07硬质合金钻头</v>
      </c>
      <c r="H201" t="str">
        <f t="shared" si="16"/>
        <v>行号01</v>
      </c>
      <c r="I201" s="1" t="str">
        <f t="shared" si="17"/>
        <v>序号08</v>
      </c>
      <c r="J201" s="36" t="s">
        <v>779</v>
      </c>
      <c r="K201" s="39"/>
      <c r="L201" s="39"/>
      <c r="M201" s="39"/>
      <c r="N201" s="39"/>
      <c r="O201" s="23" t="s">
        <v>1235</v>
      </c>
    </row>
    <row r="202" spans="1:15">
      <c r="A202" s="8" t="s">
        <v>16</v>
      </c>
      <c r="B202" s="9" t="s">
        <v>26</v>
      </c>
      <c r="C202" s="8" t="s">
        <v>16</v>
      </c>
      <c r="D202" s="11" t="s">
        <v>14</v>
      </c>
      <c r="E202" s="7" t="str">
        <f t="shared" si="15"/>
        <v>02070201</v>
      </c>
      <c r="F202" s="1" t="s">
        <v>1221</v>
      </c>
      <c r="G202" s="1" t="str">
        <f t="shared" si="18"/>
        <v>抽屉07硬质合金钻头</v>
      </c>
      <c r="H202" t="str">
        <f t="shared" si="16"/>
        <v>行号02</v>
      </c>
      <c r="I202" s="1" t="str">
        <f t="shared" si="17"/>
        <v>序号01</v>
      </c>
      <c r="J202" s="36" t="s">
        <v>780</v>
      </c>
      <c r="K202" s="39"/>
      <c r="L202" s="39"/>
      <c r="M202" s="39"/>
      <c r="N202" s="39"/>
      <c r="O202" s="23" t="s">
        <v>1235</v>
      </c>
    </row>
    <row r="203" spans="1:15">
      <c r="A203" s="8" t="s">
        <v>16</v>
      </c>
      <c r="B203" s="9" t="s">
        <v>26</v>
      </c>
      <c r="C203" s="8" t="s">
        <v>16</v>
      </c>
      <c r="D203" s="11" t="s">
        <v>16</v>
      </c>
      <c r="E203" s="7" t="str">
        <f t="shared" si="15"/>
        <v>02070202</v>
      </c>
      <c r="F203" s="1" t="s">
        <v>1221</v>
      </c>
      <c r="G203" s="1" t="str">
        <f t="shared" si="18"/>
        <v>抽屉07硬质合金钻头</v>
      </c>
      <c r="H203" t="str">
        <f t="shared" si="16"/>
        <v>行号02</v>
      </c>
      <c r="I203" s="1" t="str">
        <f t="shared" si="17"/>
        <v>序号02</v>
      </c>
      <c r="J203" s="36" t="s">
        <v>781</v>
      </c>
      <c r="K203" s="39"/>
      <c r="L203" s="39"/>
      <c r="M203" s="39"/>
      <c r="N203" s="39"/>
      <c r="O203" s="23" t="s">
        <v>1235</v>
      </c>
    </row>
    <row r="204" spans="1:15">
      <c r="A204" s="8" t="s">
        <v>16</v>
      </c>
      <c r="B204" s="9" t="s">
        <v>26</v>
      </c>
      <c r="C204" s="8" t="s">
        <v>16</v>
      </c>
      <c r="D204" s="11" t="s">
        <v>18</v>
      </c>
      <c r="E204" s="7" t="str">
        <f t="shared" si="15"/>
        <v>02070203</v>
      </c>
      <c r="F204" s="1" t="s">
        <v>1221</v>
      </c>
      <c r="G204" s="1" t="str">
        <f t="shared" si="18"/>
        <v>抽屉07硬质合金钻头</v>
      </c>
      <c r="H204" t="str">
        <f t="shared" si="16"/>
        <v>行号02</v>
      </c>
      <c r="I204" s="1" t="str">
        <f t="shared" si="17"/>
        <v>序号03</v>
      </c>
      <c r="J204" s="36" t="s">
        <v>782</v>
      </c>
      <c r="K204" s="39"/>
      <c r="L204" s="39"/>
      <c r="M204" s="39"/>
      <c r="N204" s="39"/>
      <c r="O204" s="23" t="s">
        <v>1235</v>
      </c>
    </row>
    <row r="205" spans="1:15">
      <c r="A205" s="8" t="s">
        <v>16</v>
      </c>
      <c r="B205" s="9" t="s">
        <v>26</v>
      </c>
      <c r="C205" s="8" t="s">
        <v>16</v>
      </c>
      <c r="D205" s="11" t="s">
        <v>20</v>
      </c>
      <c r="E205" s="7" t="str">
        <f t="shared" si="15"/>
        <v>02070204</v>
      </c>
      <c r="F205" s="1" t="s">
        <v>1221</v>
      </c>
      <c r="G205" s="1" t="str">
        <f t="shared" si="18"/>
        <v>抽屉07硬质合金钻头</v>
      </c>
      <c r="H205" t="str">
        <f t="shared" si="16"/>
        <v>行号02</v>
      </c>
      <c r="I205" s="1" t="str">
        <f t="shared" si="17"/>
        <v>序号04</v>
      </c>
      <c r="J205" s="36" t="s">
        <v>783</v>
      </c>
      <c r="K205" s="39"/>
      <c r="L205" s="39"/>
      <c r="M205" s="39"/>
      <c r="N205" s="39"/>
      <c r="O205" s="23" t="s">
        <v>1235</v>
      </c>
    </row>
    <row r="206" spans="1:15">
      <c r="A206" s="8" t="s">
        <v>16</v>
      </c>
      <c r="B206" s="9" t="s">
        <v>26</v>
      </c>
      <c r="C206" s="8" t="s">
        <v>16</v>
      </c>
      <c r="D206" s="11" t="s">
        <v>22</v>
      </c>
      <c r="E206" s="7" t="str">
        <f t="shared" si="15"/>
        <v>02070205</v>
      </c>
      <c r="F206" s="1" t="s">
        <v>1221</v>
      </c>
      <c r="G206" s="1" t="str">
        <f t="shared" si="18"/>
        <v>抽屉07硬质合金钻头</v>
      </c>
      <c r="H206" t="str">
        <f t="shared" si="16"/>
        <v>行号02</v>
      </c>
      <c r="I206" s="1" t="str">
        <f t="shared" si="17"/>
        <v>序号05</v>
      </c>
      <c r="J206" s="36" t="s">
        <v>784</v>
      </c>
      <c r="K206" s="39"/>
      <c r="L206" s="39"/>
      <c r="M206" s="39"/>
      <c r="N206" s="39"/>
      <c r="O206" s="23" t="s">
        <v>1235</v>
      </c>
    </row>
    <row r="207" spans="1:15">
      <c r="A207" s="8" t="s">
        <v>16</v>
      </c>
      <c r="B207" s="9" t="s">
        <v>26</v>
      </c>
      <c r="C207" s="8" t="s">
        <v>16</v>
      </c>
      <c r="D207" s="11" t="s">
        <v>24</v>
      </c>
      <c r="E207" s="7" t="str">
        <f t="shared" si="15"/>
        <v>02070206</v>
      </c>
      <c r="F207" s="1" t="s">
        <v>1221</v>
      </c>
      <c r="G207" s="1" t="str">
        <f t="shared" si="18"/>
        <v>抽屉07硬质合金钻头</v>
      </c>
      <c r="H207" t="str">
        <f t="shared" si="16"/>
        <v>行号02</v>
      </c>
      <c r="I207" s="1" t="str">
        <f t="shared" si="17"/>
        <v>序号06</v>
      </c>
      <c r="J207" s="36" t="s">
        <v>785</v>
      </c>
      <c r="K207" s="39"/>
      <c r="L207" s="39"/>
      <c r="M207" s="39"/>
      <c r="N207" s="39"/>
      <c r="O207" s="23" t="s">
        <v>1235</v>
      </c>
    </row>
    <row r="208" spans="1:15">
      <c r="A208" s="8" t="s">
        <v>16</v>
      </c>
      <c r="B208" s="9" t="s">
        <v>26</v>
      </c>
      <c r="C208" s="8" t="s">
        <v>16</v>
      </c>
      <c r="D208" s="11" t="s">
        <v>26</v>
      </c>
      <c r="E208" s="7" t="str">
        <f t="shared" si="15"/>
        <v>02070207</v>
      </c>
      <c r="F208" s="1" t="s">
        <v>1221</v>
      </c>
      <c r="G208" s="1" t="str">
        <f t="shared" si="18"/>
        <v>抽屉07硬质合金钻头</v>
      </c>
      <c r="H208" t="str">
        <f t="shared" si="16"/>
        <v>行号02</v>
      </c>
      <c r="I208" s="1" t="str">
        <f t="shared" si="17"/>
        <v>序号07</v>
      </c>
      <c r="J208" s="36" t="s">
        <v>786</v>
      </c>
      <c r="K208" s="39"/>
      <c r="L208" s="39"/>
      <c r="M208" s="39"/>
      <c r="N208" s="39"/>
      <c r="O208" s="23" t="s">
        <v>1235</v>
      </c>
    </row>
    <row r="209" spans="1:15">
      <c r="A209" s="8" t="s">
        <v>16</v>
      </c>
      <c r="B209" s="9" t="s">
        <v>26</v>
      </c>
      <c r="C209" s="8" t="s">
        <v>16</v>
      </c>
      <c r="D209" s="11" t="s">
        <v>28</v>
      </c>
      <c r="E209" s="7" t="str">
        <f t="shared" si="15"/>
        <v>02070208</v>
      </c>
      <c r="F209" s="1" t="s">
        <v>1221</v>
      </c>
      <c r="G209" s="1" t="str">
        <f t="shared" si="18"/>
        <v>抽屉07硬质合金钻头</v>
      </c>
      <c r="H209" t="str">
        <f t="shared" si="16"/>
        <v>行号02</v>
      </c>
      <c r="I209" s="1" t="str">
        <f t="shared" si="17"/>
        <v>序号08</v>
      </c>
      <c r="J209" s="36" t="s">
        <v>787</v>
      </c>
      <c r="K209" s="39"/>
      <c r="L209" s="39"/>
      <c r="M209" s="39"/>
      <c r="N209" s="39"/>
      <c r="O209" s="23" t="s">
        <v>1235</v>
      </c>
    </row>
    <row r="210" spans="1:15">
      <c r="A210" s="8" t="s">
        <v>16</v>
      </c>
      <c r="B210" s="9" t="s">
        <v>26</v>
      </c>
      <c r="C210" s="10" t="s">
        <v>18</v>
      </c>
      <c r="D210" s="8" t="s">
        <v>14</v>
      </c>
      <c r="E210" s="7" t="str">
        <f t="shared" si="15"/>
        <v>02070301</v>
      </c>
      <c r="F210" s="1" t="s">
        <v>1221</v>
      </c>
      <c r="G210" s="1" t="str">
        <f t="shared" si="18"/>
        <v>抽屉07硬质合金钻头</v>
      </c>
      <c r="H210" t="str">
        <f t="shared" si="16"/>
        <v>行号03</v>
      </c>
      <c r="I210" s="1" t="str">
        <f t="shared" si="17"/>
        <v>序号01</v>
      </c>
      <c r="J210" s="36" t="s">
        <v>788</v>
      </c>
      <c r="K210" s="39"/>
      <c r="L210" s="39"/>
      <c r="M210" s="39"/>
      <c r="N210" s="39"/>
      <c r="O210" s="23" t="s">
        <v>1235</v>
      </c>
    </row>
    <row r="211" spans="1:15">
      <c r="A211" s="8" t="s">
        <v>16</v>
      </c>
      <c r="B211" s="9" t="s">
        <v>26</v>
      </c>
      <c r="C211" s="10" t="s">
        <v>18</v>
      </c>
      <c r="D211" s="8" t="s">
        <v>16</v>
      </c>
      <c r="E211" s="7" t="str">
        <f t="shared" si="15"/>
        <v>02070302</v>
      </c>
      <c r="F211" s="1" t="s">
        <v>1221</v>
      </c>
      <c r="G211" s="1" t="str">
        <f t="shared" si="18"/>
        <v>抽屉07硬质合金钻头</v>
      </c>
      <c r="H211" t="str">
        <f t="shared" si="16"/>
        <v>行号03</v>
      </c>
      <c r="I211" s="1" t="str">
        <f t="shared" si="17"/>
        <v>序号02</v>
      </c>
      <c r="J211" s="36" t="s">
        <v>789</v>
      </c>
      <c r="K211" s="39"/>
      <c r="L211" s="39"/>
      <c r="M211" s="39"/>
      <c r="N211" s="39"/>
      <c r="O211" s="23" t="s">
        <v>1235</v>
      </c>
    </row>
    <row r="212" spans="1:15">
      <c r="A212" s="8" t="s">
        <v>16</v>
      </c>
      <c r="B212" s="9" t="s">
        <v>26</v>
      </c>
      <c r="C212" s="10" t="s">
        <v>18</v>
      </c>
      <c r="D212" s="8" t="s">
        <v>18</v>
      </c>
      <c r="E212" s="7" t="str">
        <f t="shared" si="15"/>
        <v>02070303</v>
      </c>
      <c r="F212" s="1" t="s">
        <v>1221</v>
      </c>
      <c r="G212" s="1" t="str">
        <f t="shared" si="18"/>
        <v>抽屉07硬质合金钻头</v>
      </c>
      <c r="H212" t="str">
        <f t="shared" si="16"/>
        <v>行号03</v>
      </c>
      <c r="I212" s="1" t="str">
        <f t="shared" si="17"/>
        <v>序号03</v>
      </c>
      <c r="J212" s="36" t="s">
        <v>790</v>
      </c>
      <c r="K212" s="39"/>
      <c r="L212" s="39"/>
      <c r="M212" s="39"/>
      <c r="N212" s="39"/>
      <c r="O212" s="23" t="s">
        <v>1235</v>
      </c>
    </row>
    <row r="213" spans="1:15">
      <c r="A213" s="8" t="s">
        <v>16</v>
      </c>
      <c r="B213" s="9" t="s">
        <v>26</v>
      </c>
      <c r="C213" s="10" t="s">
        <v>18</v>
      </c>
      <c r="D213" s="8" t="s">
        <v>20</v>
      </c>
      <c r="E213" s="7" t="str">
        <f t="shared" si="15"/>
        <v>02070304</v>
      </c>
      <c r="F213" s="1" t="s">
        <v>1221</v>
      </c>
      <c r="G213" s="1" t="str">
        <f t="shared" si="18"/>
        <v>抽屉07硬质合金钻头</v>
      </c>
      <c r="H213" t="str">
        <f t="shared" si="16"/>
        <v>行号03</v>
      </c>
      <c r="I213" s="1" t="str">
        <f t="shared" si="17"/>
        <v>序号04</v>
      </c>
      <c r="J213" s="36" t="s">
        <v>791</v>
      </c>
      <c r="K213" s="39"/>
      <c r="L213" s="39"/>
      <c r="M213" s="39"/>
      <c r="N213" s="39"/>
      <c r="O213" s="23" t="s">
        <v>1235</v>
      </c>
    </row>
    <row r="214" spans="1:15">
      <c r="A214" s="8" t="s">
        <v>16</v>
      </c>
      <c r="B214" s="9" t="s">
        <v>26</v>
      </c>
      <c r="C214" s="10" t="s">
        <v>18</v>
      </c>
      <c r="D214" s="8" t="s">
        <v>22</v>
      </c>
      <c r="E214" s="7" t="str">
        <f t="shared" si="15"/>
        <v>02070305</v>
      </c>
      <c r="F214" s="1" t="s">
        <v>1221</v>
      </c>
      <c r="G214" s="1" t="str">
        <f t="shared" si="18"/>
        <v>抽屉07硬质合金钻头</v>
      </c>
      <c r="H214" t="str">
        <f t="shared" si="16"/>
        <v>行号03</v>
      </c>
      <c r="I214" s="1" t="str">
        <f t="shared" si="17"/>
        <v>序号05</v>
      </c>
      <c r="J214" s="36" t="s">
        <v>792</v>
      </c>
      <c r="K214" s="39"/>
      <c r="L214" s="39"/>
      <c r="M214" s="39"/>
      <c r="N214" s="39"/>
      <c r="O214" s="23" t="s">
        <v>1235</v>
      </c>
    </row>
    <row r="215" spans="1:15">
      <c r="A215" s="8" t="s">
        <v>16</v>
      </c>
      <c r="B215" s="9" t="s">
        <v>26</v>
      </c>
      <c r="C215" s="10" t="s">
        <v>18</v>
      </c>
      <c r="D215" s="8" t="s">
        <v>24</v>
      </c>
      <c r="E215" s="7" t="str">
        <f t="shared" si="15"/>
        <v>02070306</v>
      </c>
      <c r="F215" s="1" t="s">
        <v>1221</v>
      </c>
      <c r="G215" s="1" t="str">
        <f t="shared" si="18"/>
        <v>抽屉07硬质合金钻头</v>
      </c>
      <c r="H215" t="str">
        <f t="shared" si="16"/>
        <v>行号03</v>
      </c>
      <c r="I215" s="1" t="str">
        <f t="shared" si="17"/>
        <v>序号06</v>
      </c>
      <c r="J215" s="36" t="s">
        <v>793</v>
      </c>
      <c r="K215" s="39"/>
      <c r="L215" s="39"/>
      <c r="M215" s="39"/>
      <c r="N215" s="39"/>
      <c r="O215" s="23" t="s">
        <v>1235</v>
      </c>
    </row>
    <row r="216" spans="1:15">
      <c r="A216" s="8" t="s">
        <v>16</v>
      </c>
      <c r="B216" s="9" t="s">
        <v>26</v>
      </c>
      <c r="C216" s="10" t="s">
        <v>18</v>
      </c>
      <c r="D216" s="8" t="s">
        <v>26</v>
      </c>
      <c r="E216" s="7" t="str">
        <f t="shared" si="15"/>
        <v>02070307</v>
      </c>
      <c r="F216" s="1" t="s">
        <v>1221</v>
      </c>
      <c r="G216" s="1" t="str">
        <f t="shared" si="18"/>
        <v>抽屉07硬质合金钻头</v>
      </c>
      <c r="H216" t="str">
        <f t="shared" si="16"/>
        <v>行号03</v>
      </c>
      <c r="I216" s="1" t="str">
        <f t="shared" si="17"/>
        <v>序号07</v>
      </c>
      <c r="J216" s="36" t="s">
        <v>794</v>
      </c>
      <c r="K216" s="39"/>
      <c r="L216" s="39"/>
      <c r="M216" s="39"/>
      <c r="N216" s="39"/>
      <c r="O216" s="23" t="s">
        <v>1235</v>
      </c>
    </row>
    <row r="217" spans="1:15">
      <c r="A217" s="8" t="s">
        <v>16</v>
      </c>
      <c r="B217" s="9" t="s">
        <v>26</v>
      </c>
      <c r="C217" s="10" t="s">
        <v>18</v>
      </c>
      <c r="D217" s="8" t="s">
        <v>28</v>
      </c>
      <c r="E217" s="7" t="str">
        <f t="shared" si="15"/>
        <v>02070308</v>
      </c>
      <c r="F217" s="1" t="s">
        <v>1221</v>
      </c>
      <c r="G217" s="1" t="str">
        <f t="shared" si="18"/>
        <v>抽屉07硬质合金钻头</v>
      </c>
      <c r="H217" t="str">
        <f t="shared" si="16"/>
        <v>行号03</v>
      </c>
      <c r="I217" s="1" t="str">
        <f t="shared" si="17"/>
        <v>序号08</v>
      </c>
      <c r="J217" s="36" t="s">
        <v>795</v>
      </c>
      <c r="K217" s="39"/>
      <c r="L217" s="39"/>
      <c r="M217" s="39"/>
      <c r="N217" s="39"/>
      <c r="O217" s="23" t="s">
        <v>1235</v>
      </c>
    </row>
    <row r="218" spans="1:15">
      <c r="A218" s="8" t="s">
        <v>16</v>
      </c>
      <c r="B218" s="9" t="s">
        <v>26</v>
      </c>
      <c r="C218" s="8" t="s">
        <v>20</v>
      </c>
      <c r="D218" s="11" t="s">
        <v>14</v>
      </c>
      <c r="E218" s="7" t="str">
        <f t="shared" si="15"/>
        <v>02070401</v>
      </c>
      <c r="F218" s="1" t="s">
        <v>1221</v>
      </c>
      <c r="G218" s="1" t="str">
        <f t="shared" si="18"/>
        <v>抽屉07硬质合金钻头</v>
      </c>
      <c r="H218" t="str">
        <f t="shared" si="16"/>
        <v>行号04</v>
      </c>
      <c r="I218" s="1" t="str">
        <f t="shared" si="17"/>
        <v>序号01</v>
      </c>
      <c r="J218" s="36" t="s">
        <v>796</v>
      </c>
      <c r="K218" s="39"/>
      <c r="L218" s="39"/>
      <c r="M218" s="39"/>
      <c r="N218" s="39"/>
      <c r="O218" s="23" t="s">
        <v>1235</v>
      </c>
    </row>
    <row r="219" spans="1:15">
      <c r="A219" s="8" t="s">
        <v>16</v>
      </c>
      <c r="B219" s="9" t="s">
        <v>26</v>
      </c>
      <c r="C219" s="8" t="s">
        <v>20</v>
      </c>
      <c r="D219" s="11" t="s">
        <v>16</v>
      </c>
      <c r="E219" s="7" t="str">
        <f t="shared" si="15"/>
        <v>02070402</v>
      </c>
      <c r="F219" s="1" t="s">
        <v>1221</v>
      </c>
      <c r="G219" s="1" t="str">
        <f t="shared" si="18"/>
        <v>抽屉07硬质合金钻头</v>
      </c>
      <c r="H219" t="str">
        <f t="shared" si="16"/>
        <v>行号04</v>
      </c>
      <c r="I219" s="1" t="str">
        <f t="shared" si="17"/>
        <v>序号02</v>
      </c>
      <c r="J219" s="36" t="s">
        <v>797</v>
      </c>
      <c r="K219" s="39"/>
      <c r="L219" s="39"/>
      <c r="M219" s="39"/>
      <c r="N219" s="39"/>
      <c r="O219" s="23" t="s">
        <v>1235</v>
      </c>
    </row>
    <row r="220" spans="1:15">
      <c r="A220" s="8" t="s">
        <v>16</v>
      </c>
      <c r="B220" s="9" t="s">
        <v>26</v>
      </c>
      <c r="C220" s="8" t="s">
        <v>20</v>
      </c>
      <c r="D220" s="11" t="s">
        <v>18</v>
      </c>
      <c r="E220" s="7" t="str">
        <f t="shared" si="15"/>
        <v>02070403</v>
      </c>
      <c r="F220" s="1" t="s">
        <v>1221</v>
      </c>
      <c r="G220" s="1" t="str">
        <f t="shared" si="18"/>
        <v>抽屉07硬质合金钻头</v>
      </c>
      <c r="H220" t="str">
        <f t="shared" si="16"/>
        <v>行号04</v>
      </c>
      <c r="I220" s="1" t="str">
        <f t="shared" si="17"/>
        <v>序号03</v>
      </c>
      <c r="J220" s="36" t="s">
        <v>798</v>
      </c>
      <c r="K220" s="39"/>
      <c r="L220" s="39"/>
      <c r="M220" s="39"/>
      <c r="N220" s="39"/>
      <c r="O220" s="23" t="s">
        <v>1235</v>
      </c>
    </row>
    <row r="221" spans="1:15">
      <c r="A221" s="8" t="s">
        <v>16</v>
      </c>
      <c r="B221" s="9" t="s">
        <v>26</v>
      </c>
      <c r="C221" s="8" t="s">
        <v>20</v>
      </c>
      <c r="D221" s="11" t="s">
        <v>20</v>
      </c>
      <c r="E221" s="7" t="str">
        <f t="shared" si="15"/>
        <v>02070404</v>
      </c>
      <c r="F221" s="1" t="s">
        <v>1221</v>
      </c>
      <c r="G221" s="1" t="str">
        <f t="shared" si="18"/>
        <v>抽屉07硬质合金钻头</v>
      </c>
      <c r="H221" t="str">
        <f t="shared" si="16"/>
        <v>行号04</v>
      </c>
      <c r="I221" s="1" t="str">
        <f t="shared" si="17"/>
        <v>序号04</v>
      </c>
      <c r="J221" s="36" t="s">
        <v>799</v>
      </c>
      <c r="K221" s="39"/>
      <c r="L221" s="39"/>
      <c r="M221" s="39"/>
      <c r="N221" s="39"/>
      <c r="O221" s="23" t="s">
        <v>1235</v>
      </c>
    </row>
    <row r="222" spans="1:15">
      <c r="A222" s="8" t="s">
        <v>16</v>
      </c>
      <c r="B222" s="9" t="s">
        <v>26</v>
      </c>
      <c r="C222" s="8" t="s">
        <v>20</v>
      </c>
      <c r="D222" s="11" t="s">
        <v>22</v>
      </c>
      <c r="E222" s="7" t="str">
        <f t="shared" si="15"/>
        <v>02070405</v>
      </c>
      <c r="F222" s="1" t="s">
        <v>1221</v>
      </c>
      <c r="G222" s="1" t="str">
        <f t="shared" si="18"/>
        <v>抽屉07硬质合金钻头</v>
      </c>
      <c r="H222" t="str">
        <f t="shared" si="16"/>
        <v>行号04</v>
      </c>
      <c r="I222" s="1" t="str">
        <f t="shared" si="17"/>
        <v>序号05</v>
      </c>
      <c r="J222" s="36" t="s">
        <v>800</v>
      </c>
      <c r="K222" s="39"/>
      <c r="L222" s="39"/>
      <c r="M222" s="39"/>
      <c r="N222" s="39"/>
      <c r="O222" s="23" t="s">
        <v>1235</v>
      </c>
    </row>
    <row r="223" spans="1:15">
      <c r="A223" s="8" t="s">
        <v>16</v>
      </c>
      <c r="B223" s="9" t="s">
        <v>26</v>
      </c>
      <c r="C223" s="8" t="s">
        <v>20</v>
      </c>
      <c r="D223" s="11" t="s">
        <v>24</v>
      </c>
      <c r="E223" s="7" t="str">
        <f t="shared" si="15"/>
        <v>02070406</v>
      </c>
      <c r="F223" s="1" t="s">
        <v>1221</v>
      </c>
      <c r="G223" s="1" t="str">
        <f t="shared" si="18"/>
        <v>抽屉07硬质合金钻头</v>
      </c>
      <c r="H223" t="str">
        <f t="shared" si="16"/>
        <v>行号04</v>
      </c>
      <c r="I223" s="1" t="str">
        <f t="shared" si="17"/>
        <v>序号06</v>
      </c>
      <c r="J223" s="36" t="s">
        <v>801</v>
      </c>
      <c r="K223" s="39">
        <v>0</v>
      </c>
      <c r="L223" s="39">
        <v>5</v>
      </c>
      <c r="M223" s="39"/>
      <c r="N223" s="39"/>
      <c r="O223" s="23" t="s">
        <v>1235</v>
      </c>
    </row>
    <row r="224" spans="1:15">
      <c r="A224" s="8" t="s">
        <v>16</v>
      </c>
      <c r="B224" s="9" t="s">
        <v>26</v>
      </c>
      <c r="C224" s="8" t="s">
        <v>20</v>
      </c>
      <c r="D224" s="11" t="s">
        <v>26</v>
      </c>
      <c r="E224" s="7" t="str">
        <f t="shared" si="15"/>
        <v>02070407</v>
      </c>
      <c r="F224" s="1" t="s">
        <v>1221</v>
      </c>
      <c r="G224" s="1" t="str">
        <f t="shared" si="18"/>
        <v>抽屉07硬质合金钻头</v>
      </c>
      <c r="H224" t="str">
        <f t="shared" si="16"/>
        <v>行号04</v>
      </c>
      <c r="I224" s="1" t="str">
        <f t="shared" si="17"/>
        <v>序号07</v>
      </c>
      <c r="J224" s="36" t="s">
        <v>802</v>
      </c>
      <c r="K224" s="39"/>
      <c r="L224" s="39"/>
      <c r="M224" s="39"/>
      <c r="N224" s="39"/>
      <c r="O224" s="23" t="s">
        <v>1242</v>
      </c>
    </row>
    <row r="225" spans="1:16">
      <c r="A225" s="8" t="s">
        <v>16</v>
      </c>
      <c r="B225" s="9" t="s">
        <v>26</v>
      </c>
      <c r="C225" s="8" t="s">
        <v>20</v>
      </c>
      <c r="D225" s="11" t="s">
        <v>28</v>
      </c>
      <c r="E225" s="7" t="str">
        <f t="shared" si="15"/>
        <v>02070408</v>
      </c>
      <c r="F225" s="1" t="s">
        <v>1221</v>
      </c>
      <c r="G225" s="1" t="str">
        <f t="shared" si="18"/>
        <v>抽屉07硬质合金钻头</v>
      </c>
      <c r="H225" t="str">
        <f t="shared" si="16"/>
        <v>行号04</v>
      </c>
      <c r="I225" s="1" t="str">
        <f t="shared" si="17"/>
        <v>序号08</v>
      </c>
      <c r="J225" s="38"/>
      <c r="K225" s="41"/>
      <c r="L225" s="41"/>
      <c r="M225" s="41">
        <v>0</v>
      </c>
      <c r="N225" s="41">
        <v>0</v>
      </c>
    </row>
    <row r="226" spans="1:16">
      <c r="A226" s="8" t="s">
        <v>16</v>
      </c>
      <c r="B226" s="8" t="s">
        <v>28</v>
      </c>
      <c r="C226" s="10" t="s">
        <v>14</v>
      </c>
      <c r="D226" s="8" t="s">
        <v>14</v>
      </c>
      <c r="E226" s="7" t="str">
        <f t="shared" si="15"/>
        <v>02080101</v>
      </c>
      <c r="F226" s="1" t="s">
        <v>1221</v>
      </c>
      <c r="G226" s="1" t="str">
        <f>"抽屉"&amp;B226&amp;"硬质合金钻头"</f>
        <v>抽屉08硬质合金钻头</v>
      </c>
      <c r="H226" t="str">
        <f t="shared" si="16"/>
        <v>行号01</v>
      </c>
      <c r="I226" s="1" t="str">
        <f t="shared" si="17"/>
        <v>序号01</v>
      </c>
      <c r="J226" s="36" t="s">
        <v>803</v>
      </c>
      <c r="K226" s="39"/>
      <c r="L226" s="39"/>
      <c r="M226" s="39"/>
      <c r="N226" s="39"/>
      <c r="O226" s="23" t="s">
        <v>1239</v>
      </c>
    </row>
    <row r="227" spans="1:16">
      <c r="A227" s="8" t="s">
        <v>16</v>
      </c>
      <c r="B227" s="8" t="s">
        <v>28</v>
      </c>
      <c r="C227" s="10" t="s">
        <v>14</v>
      </c>
      <c r="D227" s="8" t="s">
        <v>16</v>
      </c>
      <c r="E227" s="7" t="str">
        <f t="shared" si="15"/>
        <v>02080102</v>
      </c>
      <c r="F227" s="1" t="s">
        <v>1221</v>
      </c>
      <c r="G227" s="1" t="str">
        <f t="shared" ref="G227:G258" si="19">"抽屉"&amp;B227&amp;"硬质合金钻头"</f>
        <v>抽屉08硬质合金钻头</v>
      </c>
      <c r="H227" t="str">
        <f t="shared" si="16"/>
        <v>行号01</v>
      </c>
      <c r="I227" s="1" t="str">
        <f t="shared" si="17"/>
        <v>序号02</v>
      </c>
      <c r="J227" s="36" t="s">
        <v>804</v>
      </c>
      <c r="K227" s="39">
        <v>0</v>
      </c>
      <c r="L227" s="39">
        <v>5</v>
      </c>
      <c r="M227" s="39"/>
      <c r="N227" s="39"/>
      <c r="O227" s="23" t="s">
        <v>1239</v>
      </c>
    </row>
    <row r="228" spans="1:16">
      <c r="A228" s="8" t="s">
        <v>16</v>
      </c>
      <c r="B228" s="8" t="s">
        <v>28</v>
      </c>
      <c r="C228" s="10" t="s">
        <v>14</v>
      </c>
      <c r="D228" s="8" t="s">
        <v>18</v>
      </c>
      <c r="E228" s="7" t="str">
        <f t="shared" si="15"/>
        <v>02080103</v>
      </c>
      <c r="F228" s="1" t="s">
        <v>1221</v>
      </c>
      <c r="G228" s="1" t="str">
        <f t="shared" si="19"/>
        <v>抽屉08硬质合金钻头</v>
      </c>
      <c r="H228" t="str">
        <f t="shared" si="16"/>
        <v>行号01</v>
      </c>
      <c r="I228" s="1" t="str">
        <f t="shared" si="17"/>
        <v>序号03</v>
      </c>
      <c r="J228" s="36" t="s">
        <v>805</v>
      </c>
      <c r="K228" s="39">
        <v>0</v>
      </c>
      <c r="L228" s="39">
        <v>5</v>
      </c>
      <c r="M228" s="39"/>
      <c r="N228" s="39"/>
      <c r="O228" s="23" t="s">
        <v>1239</v>
      </c>
    </row>
    <row r="229" spans="1:16">
      <c r="A229" s="8" t="s">
        <v>16</v>
      </c>
      <c r="B229" s="8" t="s">
        <v>28</v>
      </c>
      <c r="C229" s="10" t="s">
        <v>14</v>
      </c>
      <c r="D229" s="8" t="s">
        <v>20</v>
      </c>
      <c r="E229" s="7" t="str">
        <f t="shared" si="15"/>
        <v>02080104</v>
      </c>
      <c r="F229" s="1" t="s">
        <v>1221</v>
      </c>
      <c r="G229" s="1" t="str">
        <f t="shared" si="19"/>
        <v>抽屉08硬质合金钻头</v>
      </c>
      <c r="H229" t="str">
        <f t="shared" si="16"/>
        <v>行号01</v>
      </c>
      <c r="I229" s="1" t="str">
        <f t="shared" si="17"/>
        <v>序号04</v>
      </c>
      <c r="J229" s="36" t="s">
        <v>806</v>
      </c>
      <c r="K229" s="39">
        <v>0</v>
      </c>
      <c r="L229" s="39">
        <v>5</v>
      </c>
      <c r="M229" s="39"/>
      <c r="N229" s="39"/>
      <c r="O229" s="23" t="s">
        <v>1239</v>
      </c>
    </row>
    <row r="230" spans="1:16">
      <c r="A230" s="8" t="s">
        <v>16</v>
      </c>
      <c r="B230" s="8" t="s">
        <v>28</v>
      </c>
      <c r="C230" s="10" t="s">
        <v>14</v>
      </c>
      <c r="D230" s="8" t="s">
        <v>22</v>
      </c>
      <c r="E230" s="7" t="str">
        <f t="shared" si="15"/>
        <v>02080105</v>
      </c>
      <c r="F230" s="1" t="s">
        <v>1221</v>
      </c>
      <c r="G230" s="1" t="str">
        <f t="shared" si="19"/>
        <v>抽屉08硬质合金钻头</v>
      </c>
      <c r="H230" t="str">
        <f t="shared" si="16"/>
        <v>行号01</v>
      </c>
      <c r="I230" s="1" t="str">
        <f t="shared" si="17"/>
        <v>序号05</v>
      </c>
      <c r="J230" s="36" t="s">
        <v>807</v>
      </c>
      <c r="K230" s="39"/>
      <c r="L230" s="39"/>
      <c r="M230" s="39"/>
      <c r="N230" s="39"/>
      <c r="O230" s="23" t="s">
        <v>1239</v>
      </c>
    </row>
    <row r="231" spans="1:16">
      <c r="A231" s="8" t="s">
        <v>16</v>
      </c>
      <c r="B231" s="8" t="s">
        <v>28</v>
      </c>
      <c r="C231" s="10" t="s">
        <v>14</v>
      </c>
      <c r="D231" s="8" t="s">
        <v>24</v>
      </c>
      <c r="E231" s="7" t="str">
        <f t="shared" si="15"/>
        <v>02080106</v>
      </c>
      <c r="F231" s="1" t="s">
        <v>1221</v>
      </c>
      <c r="G231" s="1" t="str">
        <f t="shared" si="19"/>
        <v>抽屉08硬质合金钻头</v>
      </c>
      <c r="H231" t="str">
        <f t="shared" si="16"/>
        <v>行号01</v>
      </c>
      <c r="I231" s="1" t="str">
        <f t="shared" si="17"/>
        <v>序号06</v>
      </c>
      <c r="J231" s="36" t="s">
        <v>808</v>
      </c>
      <c r="K231" s="39">
        <v>0</v>
      </c>
      <c r="L231" s="39">
        <v>5</v>
      </c>
      <c r="M231" s="39"/>
      <c r="N231" s="39"/>
      <c r="O231" s="23" t="s">
        <v>1239</v>
      </c>
    </row>
    <row r="232" spans="1:16">
      <c r="A232" s="8" t="s">
        <v>16</v>
      </c>
      <c r="B232" s="8" t="s">
        <v>28</v>
      </c>
      <c r="C232" s="10" t="s">
        <v>14</v>
      </c>
      <c r="D232" s="8" t="s">
        <v>26</v>
      </c>
      <c r="E232" s="7" t="str">
        <f t="shared" si="15"/>
        <v>02080107</v>
      </c>
      <c r="F232" s="1" t="s">
        <v>1221</v>
      </c>
      <c r="G232" s="1" t="str">
        <f t="shared" si="19"/>
        <v>抽屉08硬质合金钻头</v>
      </c>
      <c r="H232" t="str">
        <f t="shared" si="16"/>
        <v>行号01</v>
      </c>
      <c r="I232" s="1" t="str">
        <f t="shared" si="17"/>
        <v>序号07</v>
      </c>
      <c r="J232" s="36" t="s">
        <v>809</v>
      </c>
      <c r="K232" s="39">
        <v>0</v>
      </c>
      <c r="L232" s="39">
        <v>5</v>
      </c>
      <c r="M232" s="39"/>
      <c r="N232" s="39"/>
      <c r="O232" s="23" t="s">
        <v>1239</v>
      </c>
    </row>
    <row r="233" spans="1:16">
      <c r="A233" s="8" t="s">
        <v>16</v>
      </c>
      <c r="B233" s="8" t="s">
        <v>28</v>
      </c>
      <c r="C233" s="10" t="s">
        <v>14</v>
      </c>
      <c r="D233" s="8" t="s">
        <v>28</v>
      </c>
      <c r="E233" s="7" t="str">
        <f t="shared" si="15"/>
        <v>02080108</v>
      </c>
      <c r="F233" s="1" t="s">
        <v>1221</v>
      </c>
      <c r="G233" s="1" t="str">
        <f t="shared" si="19"/>
        <v>抽屉08硬质合金钻头</v>
      </c>
      <c r="H233" t="str">
        <f t="shared" si="16"/>
        <v>行号01</v>
      </c>
      <c r="I233" s="1" t="str">
        <f t="shared" si="17"/>
        <v>序号08</v>
      </c>
      <c r="J233" s="36" t="s">
        <v>810</v>
      </c>
      <c r="K233" s="39">
        <v>0</v>
      </c>
      <c r="L233" s="39">
        <v>5</v>
      </c>
      <c r="M233" s="39"/>
      <c r="N233" s="39"/>
      <c r="O233" s="23" t="s">
        <v>1234</v>
      </c>
    </row>
    <row r="234" spans="1:16">
      <c r="A234" s="8" t="s">
        <v>16</v>
      </c>
      <c r="B234" s="8" t="s">
        <v>28</v>
      </c>
      <c r="C234" s="8" t="s">
        <v>16</v>
      </c>
      <c r="D234" s="11" t="s">
        <v>14</v>
      </c>
      <c r="E234" s="7" t="str">
        <f t="shared" si="15"/>
        <v>02080201</v>
      </c>
      <c r="F234" s="1" t="s">
        <v>1221</v>
      </c>
      <c r="G234" s="1" t="str">
        <f t="shared" si="19"/>
        <v>抽屉08硬质合金钻头</v>
      </c>
      <c r="H234" t="str">
        <f t="shared" si="16"/>
        <v>行号02</v>
      </c>
      <c r="I234" s="1" t="str">
        <f t="shared" si="17"/>
        <v>序号01</v>
      </c>
      <c r="J234" s="36" t="s">
        <v>811</v>
      </c>
      <c r="K234" s="39">
        <v>0</v>
      </c>
      <c r="L234" s="39">
        <v>5</v>
      </c>
      <c r="M234" s="39"/>
      <c r="N234" s="39"/>
      <c r="O234" s="23" t="s">
        <v>1239</v>
      </c>
    </row>
    <row r="235" spans="1:16">
      <c r="A235" s="8" t="s">
        <v>16</v>
      </c>
      <c r="B235" s="8" t="s">
        <v>28</v>
      </c>
      <c r="C235" s="8" t="s">
        <v>16</v>
      </c>
      <c r="D235" s="11" t="s">
        <v>16</v>
      </c>
      <c r="E235" s="7" t="str">
        <f t="shared" si="15"/>
        <v>02080202</v>
      </c>
      <c r="F235" s="1" t="s">
        <v>1221</v>
      </c>
      <c r="G235" s="1" t="str">
        <f t="shared" si="19"/>
        <v>抽屉08硬质合金钻头</v>
      </c>
      <c r="H235" t="str">
        <f t="shared" si="16"/>
        <v>行号02</v>
      </c>
      <c r="I235" s="1" t="str">
        <f t="shared" si="17"/>
        <v>序号02</v>
      </c>
      <c r="J235" s="36" t="s">
        <v>812</v>
      </c>
      <c r="K235" s="39"/>
      <c r="L235" s="39"/>
      <c r="M235" s="39"/>
      <c r="N235" s="39"/>
      <c r="O235" s="23" t="s">
        <v>1239</v>
      </c>
    </row>
    <row r="236" spans="1:16">
      <c r="A236" s="8" t="s">
        <v>16</v>
      </c>
      <c r="B236" s="8" t="s">
        <v>28</v>
      </c>
      <c r="C236" s="8" t="s">
        <v>16</v>
      </c>
      <c r="D236" s="11" t="s">
        <v>18</v>
      </c>
      <c r="E236" s="7" t="str">
        <f t="shared" si="15"/>
        <v>02080203</v>
      </c>
      <c r="F236" s="1" t="s">
        <v>1221</v>
      </c>
      <c r="G236" s="1" t="str">
        <f t="shared" si="19"/>
        <v>抽屉08硬质合金钻头</v>
      </c>
      <c r="H236" t="str">
        <f t="shared" si="16"/>
        <v>行号02</v>
      </c>
      <c r="I236" s="1" t="str">
        <f t="shared" si="17"/>
        <v>序号03</v>
      </c>
      <c r="J236" s="36" t="s">
        <v>813</v>
      </c>
      <c r="K236" s="39">
        <v>0</v>
      </c>
      <c r="L236" s="39">
        <v>5</v>
      </c>
      <c r="M236" s="39"/>
      <c r="N236" s="39"/>
      <c r="O236" s="23" t="s">
        <v>1239</v>
      </c>
    </row>
    <row r="237" spans="1:16">
      <c r="A237" s="8" t="s">
        <v>16</v>
      </c>
      <c r="B237" s="8" t="s">
        <v>28</v>
      </c>
      <c r="C237" s="8" t="s">
        <v>16</v>
      </c>
      <c r="D237" s="11" t="s">
        <v>20</v>
      </c>
      <c r="E237" s="7" t="str">
        <f t="shared" si="15"/>
        <v>02080204</v>
      </c>
      <c r="F237" s="1" t="s">
        <v>1221</v>
      </c>
      <c r="G237" s="1" t="str">
        <f t="shared" si="19"/>
        <v>抽屉08硬质合金钻头</v>
      </c>
      <c r="H237" t="str">
        <f t="shared" si="16"/>
        <v>行号02</v>
      </c>
      <c r="I237" s="1" t="str">
        <f t="shared" si="17"/>
        <v>序号04</v>
      </c>
      <c r="J237" s="36" t="s">
        <v>814</v>
      </c>
      <c r="K237" s="39">
        <v>0</v>
      </c>
      <c r="L237" s="39">
        <v>5</v>
      </c>
      <c r="M237" s="39"/>
      <c r="N237" s="39"/>
      <c r="O237" s="23" t="s">
        <v>1239</v>
      </c>
    </row>
    <row r="238" spans="1:16">
      <c r="A238" s="8" t="s">
        <v>16</v>
      </c>
      <c r="B238" s="8" t="s">
        <v>28</v>
      </c>
      <c r="C238" s="8" t="s">
        <v>16</v>
      </c>
      <c r="D238" s="11" t="s">
        <v>22</v>
      </c>
      <c r="E238" s="7" t="str">
        <f t="shared" si="15"/>
        <v>02080205</v>
      </c>
      <c r="F238" s="1" t="s">
        <v>1221</v>
      </c>
      <c r="G238" s="1" t="str">
        <f t="shared" si="19"/>
        <v>抽屉08硬质合金钻头</v>
      </c>
      <c r="H238" t="str">
        <f t="shared" si="16"/>
        <v>行号02</v>
      </c>
      <c r="I238" s="1" t="str">
        <f t="shared" si="17"/>
        <v>序号05</v>
      </c>
      <c r="J238" s="36" t="s">
        <v>815</v>
      </c>
      <c r="K238" s="39">
        <v>0</v>
      </c>
      <c r="L238" s="39">
        <v>5</v>
      </c>
      <c r="M238" s="39"/>
      <c r="N238" s="39"/>
      <c r="O238" s="23" t="s">
        <v>1239</v>
      </c>
      <c r="P238" s="31">
        <v>968954</v>
      </c>
    </row>
    <row r="239" spans="1:16">
      <c r="A239" s="8" t="s">
        <v>16</v>
      </c>
      <c r="B239" s="8" t="s">
        <v>28</v>
      </c>
      <c r="C239" s="8" t="s">
        <v>16</v>
      </c>
      <c r="D239" s="11" t="s">
        <v>24</v>
      </c>
      <c r="E239" s="7" t="str">
        <f t="shared" si="15"/>
        <v>02080206</v>
      </c>
      <c r="F239" s="1" t="s">
        <v>1221</v>
      </c>
      <c r="G239" s="1" t="str">
        <f t="shared" si="19"/>
        <v>抽屉08硬质合金钻头</v>
      </c>
      <c r="H239" t="str">
        <f t="shared" si="16"/>
        <v>行号02</v>
      </c>
      <c r="I239" s="1" t="str">
        <f t="shared" si="17"/>
        <v>序号06</v>
      </c>
      <c r="J239" s="36" t="s">
        <v>816</v>
      </c>
      <c r="K239" s="39">
        <v>0</v>
      </c>
      <c r="L239" s="39">
        <v>5</v>
      </c>
      <c r="M239" s="39"/>
      <c r="N239" s="39"/>
      <c r="O239" s="23" t="s">
        <v>1239</v>
      </c>
    </row>
    <row r="240" spans="1:16">
      <c r="A240" s="8" t="s">
        <v>16</v>
      </c>
      <c r="B240" s="8" t="s">
        <v>28</v>
      </c>
      <c r="C240" s="8" t="s">
        <v>16</v>
      </c>
      <c r="D240" s="11" t="s">
        <v>26</v>
      </c>
      <c r="E240" s="7" t="str">
        <f t="shared" si="15"/>
        <v>02080207</v>
      </c>
      <c r="F240" s="1" t="s">
        <v>1221</v>
      </c>
      <c r="G240" s="1" t="str">
        <f t="shared" si="19"/>
        <v>抽屉08硬质合金钻头</v>
      </c>
      <c r="H240" t="str">
        <f t="shared" si="16"/>
        <v>行号02</v>
      </c>
      <c r="I240" s="1" t="str">
        <f t="shared" si="17"/>
        <v>序号07</v>
      </c>
      <c r="J240" s="24"/>
      <c r="K240" s="41"/>
      <c r="L240" s="41"/>
      <c r="M240" s="41">
        <v>0</v>
      </c>
      <c r="N240" s="41">
        <v>0</v>
      </c>
    </row>
    <row r="241" spans="1:16">
      <c r="A241" s="8" t="s">
        <v>16</v>
      </c>
      <c r="B241" s="8" t="s">
        <v>28</v>
      </c>
      <c r="C241" s="8" t="s">
        <v>16</v>
      </c>
      <c r="D241" s="11" t="s">
        <v>28</v>
      </c>
      <c r="E241" s="7" t="str">
        <f t="shared" si="15"/>
        <v>02080208</v>
      </c>
      <c r="F241" s="1" t="s">
        <v>1221</v>
      </c>
      <c r="G241" s="1" t="str">
        <f t="shared" si="19"/>
        <v>抽屉08硬质合金钻头</v>
      </c>
      <c r="H241" t="str">
        <f t="shared" si="16"/>
        <v>行号02</v>
      </c>
      <c r="I241" s="1" t="str">
        <f t="shared" si="17"/>
        <v>序号08</v>
      </c>
      <c r="J241" s="24"/>
      <c r="K241" s="41"/>
      <c r="L241" s="41"/>
      <c r="M241" s="41">
        <v>0</v>
      </c>
      <c r="N241" s="41">
        <v>0</v>
      </c>
    </row>
    <row r="242" spans="1:16">
      <c r="A242" s="8" t="s">
        <v>16</v>
      </c>
      <c r="B242" s="8" t="s">
        <v>28</v>
      </c>
      <c r="C242" s="10" t="s">
        <v>18</v>
      </c>
      <c r="D242" s="8" t="s">
        <v>14</v>
      </c>
      <c r="E242" s="7" t="str">
        <f t="shared" si="15"/>
        <v>02080301</v>
      </c>
      <c r="F242" s="1" t="s">
        <v>1221</v>
      </c>
      <c r="G242" s="1" t="str">
        <f t="shared" si="19"/>
        <v>抽屉08硬质合金钻头</v>
      </c>
      <c r="H242" t="str">
        <f t="shared" si="16"/>
        <v>行号03</v>
      </c>
      <c r="I242" s="1" t="str">
        <f t="shared" si="17"/>
        <v>序号01</v>
      </c>
      <c r="J242" s="36" t="s">
        <v>817</v>
      </c>
      <c r="K242" s="39">
        <v>0</v>
      </c>
      <c r="L242" s="39">
        <v>5</v>
      </c>
      <c r="M242" s="39"/>
      <c r="N242" s="39"/>
      <c r="O242" s="23" t="s">
        <v>1239</v>
      </c>
      <c r="P242" s="31">
        <v>969348</v>
      </c>
    </row>
    <row r="243" spans="1:16">
      <c r="A243" s="8" t="s">
        <v>16</v>
      </c>
      <c r="B243" s="8" t="s">
        <v>28</v>
      </c>
      <c r="C243" s="10" t="s">
        <v>18</v>
      </c>
      <c r="D243" s="8" t="s">
        <v>16</v>
      </c>
      <c r="E243" s="7" t="str">
        <f t="shared" si="15"/>
        <v>02080302</v>
      </c>
      <c r="F243" s="1" t="s">
        <v>1221</v>
      </c>
      <c r="G243" s="1" t="str">
        <f t="shared" si="19"/>
        <v>抽屉08硬质合金钻头</v>
      </c>
      <c r="H243" t="str">
        <f t="shared" si="16"/>
        <v>行号03</v>
      </c>
      <c r="I243" s="1" t="str">
        <f t="shared" si="17"/>
        <v>序号02</v>
      </c>
      <c r="J243" s="36" t="s">
        <v>818</v>
      </c>
      <c r="K243" s="39">
        <v>0</v>
      </c>
      <c r="L243" s="39">
        <v>5</v>
      </c>
      <c r="M243" s="39"/>
      <c r="N243" s="39"/>
      <c r="O243" s="23" t="s">
        <v>1239</v>
      </c>
    </row>
    <row r="244" spans="1:16">
      <c r="A244" s="8" t="s">
        <v>16</v>
      </c>
      <c r="B244" s="8" t="s">
        <v>28</v>
      </c>
      <c r="C244" s="10" t="s">
        <v>18</v>
      </c>
      <c r="D244" s="8" t="s">
        <v>18</v>
      </c>
      <c r="E244" s="7" t="str">
        <f t="shared" si="15"/>
        <v>02080303</v>
      </c>
      <c r="F244" s="1" t="s">
        <v>1221</v>
      </c>
      <c r="G244" s="1" t="str">
        <f t="shared" si="19"/>
        <v>抽屉08硬质合金钻头</v>
      </c>
      <c r="H244" t="str">
        <f t="shared" si="16"/>
        <v>行号03</v>
      </c>
      <c r="I244" s="1" t="str">
        <f t="shared" si="17"/>
        <v>序号03</v>
      </c>
      <c r="J244" s="36" t="s">
        <v>819</v>
      </c>
      <c r="K244" s="39">
        <v>0</v>
      </c>
      <c r="L244" s="39">
        <v>5</v>
      </c>
      <c r="M244" s="39"/>
      <c r="N244" s="39"/>
      <c r="O244" s="23" t="s">
        <v>1234</v>
      </c>
    </row>
    <row r="245" spans="1:16">
      <c r="A245" s="8" t="s">
        <v>16</v>
      </c>
      <c r="B245" s="8" t="s">
        <v>28</v>
      </c>
      <c r="C245" s="10" t="s">
        <v>18</v>
      </c>
      <c r="D245" s="8" t="s">
        <v>20</v>
      </c>
      <c r="E245" s="7" t="str">
        <f t="shared" si="15"/>
        <v>02080304</v>
      </c>
      <c r="F245" s="1" t="s">
        <v>1221</v>
      </c>
      <c r="G245" s="1" t="str">
        <f t="shared" si="19"/>
        <v>抽屉08硬质合金钻头</v>
      </c>
      <c r="H245" t="str">
        <f t="shared" si="16"/>
        <v>行号03</v>
      </c>
      <c r="I245" s="1" t="str">
        <f t="shared" si="17"/>
        <v>序号04</v>
      </c>
      <c r="J245" s="36" t="s">
        <v>820</v>
      </c>
      <c r="K245" s="39">
        <v>0</v>
      </c>
      <c r="L245" s="39">
        <v>5</v>
      </c>
      <c r="M245" s="39"/>
      <c r="N245" s="39"/>
      <c r="O245" s="23" t="s">
        <v>1239</v>
      </c>
    </row>
    <row r="246" spans="1:16">
      <c r="A246" s="8" t="s">
        <v>16</v>
      </c>
      <c r="B246" s="8" t="s">
        <v>28</v>
      </c>
      <c r="C246" s="10" t="s">
        <v>18</v>
      </c>
      <c r="D246" s="8" t="s">
        <v>22</v>
      </c>
      <c r="E246" s="7" t="str">
        <f t="shared" si="15"/>
        <v>02080305</v>
      </c>
      <c r="F246" s="1" t="s">
        <v>1221</v>
      </c>
      <c r="G246" s="1" t="str">
        <f t="shared" si="19"/>
        <v>抽屉08硬质合金钻头</v>
      </c>
      <c r="H246" t="str">
        <f t="shared" si="16"/>
        <v>行号03</v>
      </c>
      <c r="I246" s="1" t="str">
        <f t="shared" si="17"/>
        <v>序号05</v>
      </c>
      <c r="J246" s="36" t="s">
        <v>821</v>
      </c>
      <c r="K246" s="39">
        <v>0</v>
      </c>
      <c r="L246" s="39">
        <v>5</v>
      </c>
      <c r="M246" s="39"/>
      <c r="N246" s="39"/>
      <c r="O246" s="23" t="s">
        <v>1239</v>
      </c>
    </row>
    <row r="247" spans="1:16">
      <c r="A247" s="8" t="s">
        <v>16</v>
      </c>
      <c r="B247" s="8" t="s">
        <v>28</v>
      </c>
      <c r="C247" s="10" t="s">
        <v>18</v>
      </c>
      <c r="D247" s="8" t="s">
        <v>24</v>
      </c>
      <c r="E247" s="7" t="str">
        <f t="shared" si="15"/>
        <v>02080306</v>
      </c>
      <c r="F247" s="1" t="s">
        <v>1221</v>
      </c>
      <c r="G247" s="1" t="str">
        <f t="shared" si="19"/>
        <v>抽屉08硬质合金钻头</v>
      </c>
      <c r="H247" t="str">
        <f t="shared" si="16"/>
        <v>行号03</v>
      </c>
      <c r="I247" s="1" t="str">
        <f t="shared" si="17"/>
        <v>序号06</v>
      </c>
      <c r="J247" s="36" t="s">
        <v>822</v>
      </c>
      <c r="K247" s="39">
        <v>0</v>
      </c>
      <c r="L247" s="39">
        <v>5</v>
      </c>
      <c r="M247" s="39"/>
      <c r="N247" s="39"/>
      <c r="O247" s="23" t="s">
        <v>1239</v>
      </c>
    </row>
    <row r="248" spans="1:16">
      <c r="A248" s="8" t="s">
        <v>16</v>
      </c>
      <c r="B248" s="8" t="s">
        <v>28</v>
      </c>
      <c r="C248" s="10" t="s">
        <v>18</v>
      </c>
      <c r="D248" s="8" t="s">
        <v>26</v>
      </c>
      <c r="E248" s="7" t="str">
        <f t="shared" si="15"/>
        <v>02080307</v>
      </c>
      <c r="F248" s="1" t="s">
        <v>1221</v>
      </c>
      <c r="G248" s="1" t="str">
        <f t="shared" si="19"/>
        <v>抽屉08硬质合金钻头</v>
      </c>
      <c r="H248" t="str">
        <f t="shared" si="16"/>
        <v>行号03</v>
      </c>
      <c r="I248" s="1" t="str">
        <f t="shared" si="17"/>
        <v>序号07</v>
      </c>
      <c r="J248" s="36" t="s">
        <v>823</v>
      </c>
      <c r="K248" s="39">
        <v>0</v>
      </c>
      <c r="L248" s="39">
        <v>5</v>
      </c>
      <c r="M248" s="39"/>
      <c r="N248" s="39"/>
      <c r="O248" s="23" t="s">
        <v>1234</v>
      </c>
    </row>
    <row r="249" spans="1:16">
      <c r="A249" s="8" t="s">
        <v>16</v>
      </c>
      <c r="B249" s="8" t="s">
        <v>28</v>
      </c>
      <c r="C249" s="10" t="s">
        <v>18</v>
      </c>
      <c r="D249" s="8" t="s">
        <v>28</v>
      </c>
      <c r="E249" s="7" t="str">
        <f t="shared" si="15"/>
        <v>02080308</v>
      </c>
      <c r="F249" s="1" t="s">
        <v>1221</v>
      </c>
      <c r="G249" s="1" t="str">
        <f t="shared" si="19"/>
        <v>抽屉08硬质合金钻头</v>
      </c>
      <c r="H249" t="str">
        <f t="shared" si="16"/>
        <v>行号03</v>
      </c>
      <c r="I249" s="1" t="str">
        <f t="shared" si="17"/>
        <v>序号08</v>
      </c>
      <c r="J249" s="24"/>
      <c r="K249" s="41"/>
      <c r="L249" s="41"/>
      <c r="M249" s="41">
        <v>0</v>
      </c>
      <c r="N249" s="41">
        <v>0</v>
      </c>
    </row>
    <row r="250" spans="1:16">
      <c r="A250" s="8" t="s">
        <v>16</v>
      </c>
      <c r="B250" s="8" t="s">
        <v>28</v>
      </c>
      <c r="C250" s="8" t="s">
        <v>20</v>
      </c>
      <c r="D250" s="11" t="s">
        <v>14</v>
      </c>
      <c r="E250" s="7" t="str">
        <f t="shared" ref="E250" si="20">A250&amp;B250&amp;C250&amp;D250</f>
        <v>02080401</v>
      </c>
      <c r="F250" s="1" t="s">
        <v>1221</v>
      </c>
      <c r="G250" s="1" t="str">
        <f t="shared" ref="G250" si="21">"抽屉"&amp;B250&amp;"硬质合金钻头"</f>
        <v>抽屉08硬质合金钻头</v>
      </c>
      <c r="H250" t="str">
        <f t="shared" ref="H250" si="22">"行号"&amp;C250</f>
        <v>行号04</v>
      </c>
      <c r="I250" s="1" t="str">
        <f t="shared" ref="I250" si="23">"序号"&amp;D250</f>
        <v>序号01</v>
      </c>
      <c r="J250" s="36"/>
      <c r="K250" s="39"/>
      <c r="L250" s="39"/>
      <c r="M250" s="39">
        <v>0</v>
      </c>
      <c r="N250" s="39">
        <v>0</v>
      </c>
      <c r="O250" s="23"/>
    </row>
    <row r="251" spans="1:16">
      <c r="A251" s="8" t="s">
        <v>16</v>
      </c>
      <c r="B251" s="8" t="s">
        <v>28</v>
      </c>
      <c r="C251" s="8" t="s">
        <v>20</v>
      </c>
      <c r="D251" s="11" t="s">
        <v>16</v>
      </c>
      <c r="E251" s="7" t="str">
        <f t="shared" si="15"/>
        <v>02080402</v>
      </c>
      <c r="F251" s="1" t="s">
        <v>1221</v>
      </c>
      <c r="G251" s="1" t="str">
        <f t="shared" si="19"/>
        <v>抽屉08硬质合金钻头</v>
      </c>
      <c r="H251" t="str">
        <f t="shared" si="16"/>
        <v>行号04</v>
      </c>
      <c r="I251" s="1" t="str">
        <f t="shared" si="17"/>
        <v>序号02</v>
      </c>
      <c r="J251" s="36" t="s">
        <v>824</v>
      </c>
      <c r="K251" s="39">
        <v>0</v>
      </c>
      <c r="L251" s="39">
        <v>5</v>
      </c>
      <c r="M251" s="39"/>
      <c r="N251" s="39"/>
      <c r="O251" s="23" t="s">
        <v>1234</v>
      </c>
    </row>
    <row r="252" spans="1:16">
      <c r="A252" s="8" t="s">
        <v>16</v>
      </c>
      <c r="B252" s="8" t="s">
        <v>28</v>
      </c>
      <c r="C252" s="8" t="s">
        <v>20</v>
      </c>
      <c r="D252" s="11" t="s">
        <v>16</v>
      </c>
      <c r="E252" s="7" t="str">
        <f t="shared" si="15"/>
        <v>02080402</v>
      </c>
      <c r="F252" s="1" t="s">
        <v>1221</v>
      </c>
      <c r="G252" s="1" t="str">
        <f t="shared" si="19"/>
        <v>抽屉08硬质合金钻头</v>
      </c>
      <c r="H252" t="str">
        <f t="shared" si="16"/>
        <v>行号04</v>
      </c>
      <c r="I252" s="1" t="str">
        <f t="shared" si="17"/>
        <v>序号02</v>
      </c>
      <c r="J252" s="36" t="s">
        <v>825</v>
      </c>
      <c r="K252" s="39">
        <v>0</v>
      </c>
      <c r="L252" s="39">
        <v>5</v>
      </c>
      <c r="M252" s="39"/>
      <c r="N252" s="39"/>
      <c r="O252" s="23" t="s">
        <v>1234</v>
      </c>
    </row>
    <row r="253" spans="1:16">
      <c r="A253" s="8" t="s">
        <v>16</v>
      </c>
      <c r="B253" s="8" t="s">
        <v>28</v>
      </c>
      <c r="C253" s="8" t="s">
        <v>20</v>
      </c>
      <c r="D253" s="11" t="s">
        <v>18</v>
      </c>
      <c r="E253" s="7" t="str">
        <f t="shared" si="15"/>
        <v>02080403</v>
      </c>
      <c r="F253" s="1" t="s">
        <v>1221</v>
      </c>
      <c r="G253" s="1" t="str">
        <f t="shared" si="19"/>
        <v>抽屉08硬质合金钻头</v>
      </c>
      <c r="H253" t="str">
        <f t="shared" si="16"/>
        <v>行号04</v>
      </c>
      <c r="I253" s="1" t="str">
        <f t="shared" si="17"/>
        <v>序号03</v>
      </c>
      <c r="J253" s="36" t="s">
        <v>826</v>
      </c>
      <c r="K253" s="39">
        <v>0</v>
      </c>
      <c r="L253" s="39">
        <v>5</v>
      </c>
      <c r="M253" s="39"/>
      <c r="N253" s="39"/>
      <c r="O253" s="23" t="s">
        <v>1234</v>
      </c>
    </row>
    <row r="254" spans="1:16">
      <c r="A254" s="8" t="s">
        <v>16</v>
      </c>
      <c r="B254" s="8" t="s">
        <v>28</v>
      </c>
      <c r="C254" s="8" t="s">
        <v>20</v>
      </c>
      <c r="D254" s="11" t="s">
        <v>20</v>
      </c>
      <c r="E254" s="7" t="str">
        <f t="shared" si="15"/>
        <v>02080404</v>
      </c>
      <c r="F254" s="1" t="s">
        <v>1221</v>
      </c>
      <c r="G254" s="1" t="str">
        <f t="shared" si="19"/>
        <v>抽屉08硬质合金钻头</v>
      </c>
      <c r="H254" t="str">
        <f t="shared" si="16"/>
        <v>行号04</v>
      </c>
      <c r="I254" s="1" t="str">
        <f t="shared" si="17"/>
        <v>序号04</v>
      </c>
      <c r="J254" s="36" t="s">
        <v>827</v>
      </c>
      <c r="K254" s="39">
        <v>0</v>
      </c>
      <c r="L254" s="39">
        <v>5</v>
      </c>
      <c r="M254" s="39"/>
      <c r="N254" s="39"/>
      <c r="O254" s="23" t="s">
        <v>1234</v>
      </c>
    </row>
    <row r="255" spans="1:16">
      <c r="A255" s="8" t="s">
        <v>16</v>
      </c>
      <c r="B255" s="8" t="s">
        <v>28</v>
      </c>
      <c r="C255" s="8" t="s">
        <v>20</v>
      </c>
      <c r="D255" s="11" t="s">
        <v>22</v>
      </c>
      <c r="E255" s="7" t="str">
        <f t="shared" si="15"/>
        <v>02080405</v>
      </c>
      <c r="F255" s="1" t="s">
        <v>1221</v>
      </c>
      <c r="G255" s="1" t="str">
        <f t="shared" si="19"/>
        <v>抽屉08硬质合金钻头</v>
      </c>
      <c r="H255" t="str">
        <f t="shared" si="16"/>
        <v>行号04</v>
      </c>
      <c r="I255" s="1" t="str">
        <f t="shared" si="17"/>
        <v>序号05</v>
      </c>
      <c r="J255" s="36" t="s">
        <v>828</v>
      </c>
      <c r="K255" s="39"/>
      <c r="L255" s="39"/>
      <c r="M255" s="39"/>
      <c r="N255" s="39"/>
      <c r="O255" s="23" t="s">
        <v>1241</v>
      </c>
    </row>
    <row r="256" spans="1:16">
      <c r="A256" s="8" t="s">
        <v>16</v>
      </c>
      <c r="B256" s="8" t="s">
        <v>28</v>
      </c>
      <c r="C256" s="8" t="s">
        <v>20</v>
      </c>
      <c r="D256" s="11" t="s">
        <v>24</v>
      </c>
      <c r="E256" s="7" t="str">
        <f t="shared" si="15"/>
        <v>02080406</v>
      </c>
      <c r="F256" s="1" t="s">
        <v>1221</v>
      </c>
      <c r="G256" s="1" t="str">
        <f t="shared" si="19"/>
        <v>抽屉08硬质合金钻头</v>
      </c>
      <c r="H256" t="str">
        <f t="shared" si="16"/>
        <v>行号04</v>
      </c>
      <c r="I256" s="1" t="str">
        <f t="shared" si="17"/>
        <v>序号06</v>
      </c>
      <c r="J256" s="36" t="s">
        <v>829</v>
      </c>
      <c r="K256" s="39">
        <v>0</v>
      </c>
      <c r="L256" s="39">
        <v>5</v>
      </c>
      <c r="M256" s="39"/>
      <c r="N256" s="39"/>
      <c r="O256" s="23" t="s">
        <v>1234</v>
      </c>
    </row>
    <row r="257" spans="1:16">
      <c r="A257" s="8" t="s">
        <v>16</v>
      </c>
      <c r="B257" s="8" t="s">
        <v>28</v>
      </c>
      <c r="C257" s="8" t="s">
        <v>20</v>
      </c>
      <c r="D257" s="11" t="s">
        <v>26</v>
      </c>
      <c r="E257" s="7" t="str">
        <f t="shared" si="15"/>
        <v>02080407</v>
      </c>
      <c r="F257" s="1" t="s">
        <v>1221</v>
      </c>
      <c r="G257" s="1" t="str">
        <f t="shared" si="19"/>
        <v>抽屉08硬质合金钻头</v>
      </c>
      <c r="H257" t="str">
        <f t="shared" si="16"/>
        <v>行号04</v>
      </c>
      <c r="I257" s="1" t="str">
        <f t="shared" si="17"/>
        <v>序号07</v>
      </c>
      <c r="J257" s="24"/>
      <c r="K257" s="41"/>
      <c r="L257" s="41"/>
      <c r="M257" s="41">
        <v>0</v>
      </c>
      <c r="N257" s="41">
        <v>0</v>
      </c>
    </row>
    <row r="258" spans="1:16">
      <c r="A258" s="8" t="s">
        <v>16</v>
      </c>
      <c r="B258" s="8" t="s">
        <v>28</v>
      </c>
      <c r="C258" s="8" t="s">
        <v>20</v>
      </c>
      <c r="D258" s="11" t="s">
        <v>28</v>
      </c>
      <c r="E258" s="7" t="str">
        <f t="shared" si="15"/>
        <v>02080408</v>
      </c>
      <c r="F258" s="1" t="s">
        <v>1221</v>
      </c>
      <c r="G258" s="1" t="str">
        <f t="shared" si="19"/>
        <v>抽屉08硬质合金钻头</v>
      </c>
      <c r="H258" t="str">
        <f t="shared" si="16"/>
        <v>行号04</v>
      </c>
      <c r="I258" s="1" t="str">
        <f t="shared" si="17"/>
        <v>序号08</v>
      </c>
      <c r="J258" s="24"/>
      <c r="K258" s="41"/>
      <c r="L258" s="41"/>
      <c r="M258" s="41">
        <v>0</v>
      </c>
      <c r="N258" s="41">
        <v>0</v>
      </c>
    </row>
    <row r="259" spans="1:16">
      <c r="A259" s="8" t="s">
        <v>16</v>
      </c>
      <c r="B259" s="8" t="s">
        <v>333</v>
      </c>
      <c r="C259" s="10" t="s">
        <v>14</v>
      </c>
      <c r="D259" s="8" t="s">
        <v>14</v>
      </c>
      <c r="E259" s="7" t="str">
        <f t="shared" ref="E259:E322" si="24">A259&amp;B259&amp;C259&amp;D259</f>
        <v>02090101</v>
      </c>
      <c r="F259" s="1" t="s">
        <v>1221</v>
      </c>
      <c r="G259" s="1" t="str">
        <f>"抽屉"&amp;B259&amp;"硬质合金钻头"</f>
        <v>抽屉09硬质合金钻头</v>
      </c>
      <c r="H259" t="str">
        <f t="shared" ref="H259:H322" si="25">"行号"&amp;C259</f>
        <v>行号01</v>
      </c>
      <c r="I259" s="1" t="str">
        <f t="shared" ref="I259:I322" si="26">"序号"&amp;D259</f>
        <v>序号01</v>
      </c>
      <c r="J259" s="36" t="s">
        <v>830</v>
      </c>
      <c r="K259" s="39">
        <v>0</v>
      </c>
      <c r="L259" s="39">
        <v>5</v>
      </c>
      <c r="M259" s="39"/>
      <c r="N259" s="39"/>
      <c r="O259" s="23" t="s">
        <v>1239</v>
      </c>
    </row>
    <row r="260" spans="1:16">
      <c r="A260" s="8" t="s">
        <v>16</v>
      </c>
      <c r="B260" s="8" t="s">
        <v>333</v>
      </c>
      <c r="C260" s="10" t="s">
        <v>14</v>
      </c>
      <c r="D260" s="8" t="s">
        <v>16</v>
      </c>
      <c r="E260" s="7" t="str">
        <f t="shared" si="24"/>
        <v>02090102</v>
      </c>
      <c r="F260" s="1" t="s">
        <v>1221</v>
      </c>
      <c r="G260" s="1" t="str">
        <f t="shared" ref="G260:G290" si="27">"抽屉"&amp;B260&amp;"硬质合金钻头"</f>
        <v>抽屉09硬质合金钻头</v>
      </c>
      <c r="H260" t="str">
        <f t="shared" si="25"/>
        <v>行号01</v>
      </c>
      <c r="I260" s="1" t="str">
        <f t="shared" si="26"/>
        <v>序号02</v>
      </c>
      <c r="J260" s="36" t="s">
        <v>831</v>
      </c>
      <c r="K260" s="39">
        <v>0</v>
      </c>
      <c r="L260" s="39">
        <v>5</v>
      </c>
      <c r="M260" s="39"/>
      <c r="N260" s="39"/>
      <c r="O260" s="23" t="s">
        <v>1239</v>
      </c>
    </row>
    <row r="261" spans="1:16">
      <c r="A261" s="8" t="s">
        <v>16</v>
      </c>
      <c r="B261" s="8" t="s">
        <v>333</v>
      </c>
      <c r="C261" s="10" t="s">
        <v>14</v>
      </c>
      <c r="D261" s="8" t="s">
        <v>18</v>
      </c>
      <c r="E261" s="7" t="str">
        <f t="shared" si="24"/>
        <v>02090103</v>
      </c>
      <c r="F261" s="1" t="s">
        <v>1221</v>
      </c>
      <c r="G261" s="1" t="str">
        <f t="shared" si="27"/>
        <v>抽屉09硬质合金钻头</v>
      </c>
      <c r="H261" t="str">
        <f t="shared" si="25"/>
        <v>行号01</v>
      </c>
      <c r="I261" s="1" t="str">
        <f t="shared" si="26"/>
        <v>序号03</v>
      </c>
      <c r="J261" s="36" t="s">
        <v>832</v>
      </c>
      <c r="K261" s="39">
        <v>0</v>
      </c>
      <c r="L261" s="39">
        <v>5</v>
      </c>
      <c r="M261" s="39"/>
      <c r="N261" s="39"/>
      <c r="O261" s="23" t="s">
        <v>1239</v>
      </c>
    </row>
    <row r="262" spans="1:16">
      <c r="A262" s="8" t="s">
        <v>16</v>
      </c>
      <c r="B262" s="8" t="s">
        <v>333</v>
      </c>
      <c r="C262" s="10" t="s">
        <v>14</v>
      </c>
      <c r="D262" s="8" t="s">
        <v>20</v>
      </c>
      <c r="E262" s="7" t="str">
        <f t="shared" si="24"/>
        <v>02090104</v>
      </c>
      <c r="F262" s="1" t="s">
        <v>1221</v>
      </c>
      <c r="G262" s="1" t="str">
        <f t="shared" si="27"/>
        <v>抽屉09硬质合金钻头</v>
      </c>
      <c r="H262" t="str">
        <f t="shared" si="25"/>
        <v>行号01</v>
      </c>
      <c r="I262" s="1" t="str">
        <f t="shared" si="26"/>
        <v>序号04</v>
      </c>
      <c r="J262" s="36" t="s">
        <v>833</v>
      </c>
      <c r="K262" s="39">
        <v>0</v>
      </c>
      <c r="L262" s="39">
        <v>5</v>
      </c>
      <c r="M262" s="39"/>
      <c r="N262" s="39"/>
      <c r="O262" s="23" t="s">
        <v>1239</v>
      </c>
    </row>
    <row r="263" spans="1:16">
      <c r="A263" s="8" t="s">
        <v>16</v>
      </c>
      <c r="B263" s="8" t="s">
        <v>333</v>
      </c>
      <c r="C263" s="10" t="s">
        <v>14</v>
      </c>
      <c r="D263" s="8" t="s">
        <v>22</v>
      </c>
      <c r="E263" s="7" t="str">
        <f t="shared" si="24"/>
        <v>02090105</v>
      </c>
      <c r="F263" s="1" t="s">
        <v>1221</v>
      </c>
      <c r="G263" s="1" t="str">
        <f t="shared" si="27"/>
        <v>抽屉09硬质合金钻头</v>
      </c>
      <c r="H263" t="str">
        <f t="shared" si="25"/>
        <v>行号01</v>
      </c>
      <c r="I263" s="1" t="str">
        <f t="shared" si="26"/>
        <v>序号05</v>
      </c>
      <c r="J263" s="36" t="s">
        <v>834</v>
      </c>
      <c r="K263" s="39">
        <v>0</v>
      </c>
      <c r="L263" s="39">
        <v>5</v>
      </c>
      <c r="M263" s="39"/>
      <c r="N263" s="39"/>
      <c r="O263" s="23" t="s">
        <v>1239</v>
      </c>
    </row>
    <row r="264" spans="1:16">
      <c r="A264" s="8" t="s">
        <v>16</v>
      </c>
      <c r="B264" s="8" t="s">
        <v>333</v>
      </c>
      <c r="C264" s="10" t="s">
        <v>14</v>
      </c>
      <c r="D264" s="8" t="s">
        <v>24</v>
      </c>
      <c r="E264" s="7" t="str">
        <f t="shared" si="24"/>
        <v>02090106</v>
      </c>
      <c r="F264" s="1" t="s">
        <v>1221</v>
      </c>
      <c r="G264" s="1" t="str">
        <f t="shared" si="27"/>
        <v>抽屉09硬质合金钻头</v>
      </c>
      <c r="H264" t="str">
        <f t="shared" si="25"/>
        <v>行号01</v>
      </c>
      <c r="I264" s="1" t="str">
        <f t="shared" si="26"/>
        <v>序号06</v>
      </c>
      <c r="J264" s="36" t="s">
        <v>835</v>
      </c>
      <c r="K264" s="39">
        <v>0</v>
      </c>
      <c r="L264" s="39">
        <v>5</v>
      </c>
      <c r="M264" s="39"/>
      <c r="N264" s="39"/>
      <c r="O264" s="23" t="s">
        <v>1243</v>
      </c>
      <c r="P264" s="31">
        <v>970701</v>
      </c>
    </row>
    <row r="265" spans="1:16">
      <c r="A265" s="8" t="s">
        <v>16</v>
      </c>
      <c r="B265" s="8" t="s">
        <v>333</v>
      </c>
      <c r="C265" s="10" t="s">
        <v>14</v>
      </c>
      <c r="D265" s="8" t="s">
        <v>26</v>
      </c>
      <c r="E265" s="7" t="str">
        <f t="shared" si="24"/>
        <v>02090107</v>
      </c>
      <c r="F265" s="1" t="s">
        <v>1221</v>
      </c>
      <c r="G265" s="1" t="str">
        <f t="shared" si="27"/>
        <v>抽屉09硬质合金钻头</v>
      </c>
      <c r="H265" t="str">
        <f t="shared" si="25"/>
        <v>行号01</v>
      </c>
      <c r="I265" s="1" t="str">
        <f t="shared" si="26"/>
        <v>序号07</v>
      </c>
      <c r="J265" s="38"/>
      <c r="K265" s="41"/>
      <c r="L265" s="41"/>
      <c r="M265" s="41">
        <v>0</v>
      </c>
      <c r="N265" s="41">
        <v>0</v>
      </c>
    </row>
    <row r="266" spans="1:16">
      <c r="A266" s="8" t="s">
        <v>16</v>
      </c>
      <c r="B266" s="8" t="s">
        <v>333</v>
      </c>
      <c r="C266" s="10" t="s">
        <v>14</v>
      </c>
      <c r="D266" s="8" t="s">
        <v>28</v>
      </c>
      <c r="E266" s="7" t="str">
        <f t="shared" si="24"/>
        <v>02090108</v>
      </c>
      <c r="F266" s="1" t="s">
        <v>1221</v>
      </c>
      <c r="G266" s="1" t="str">
        <f t="shared" si="27"/>
        <v>抽屉09硬质合金钻头</v>
      </c>
      <c r="H266" t="str">
        <f t="shared" si="25"/>
        <v>行号01</v>
      </c>
      <c r="I266" s="1" t="str">
        <f t="shared" si="26"/>
        <v>序号08</v>
      </c>
      <c r="J266" s="38"/>
      <c r="K266" s="41"/>
      <c r="L266" s="41"/>
      <c r="M266" s="41">
        <v>0</v>
      </c>
      <c r="N266" s="41">
        <v>0</v>
      </c>
    </row>
    <row r="267" spans="1:16">
      <c r="A267" s="8" t="s">
        <v>16</v>
      </c>
      <c r="B267" s="8" t="s">
        <v>333</v>
      </c>
      <c r="C267" s="8" t="s">
        <v>16</v>
      </c>
      <c r="D267" s="11" t="s">
        <v>14</v>
      </c>
      <c r="E267" s="7" t="str">
        <f t="shared" si="24"/>
        <v>02090201</v>
      </c>
      <c r="F267" s="1" t="s">
        <v>1221</v>
      </c>
      <c r="G267" s="1" t="str">
        <f t="shared" si="27"/>
        <v>抽屉09硬质合金钻头</v>
      </c>
      <c r="H267" t="str">
        <f t="shared" si="25"/>
        <v>行号02</v>
      </c>
      <c r="I267" s="1" t="str">
        <f t="shared" si="26"/>
        <v>序号01</v>
      </c>
      <c r="J267" s="36" t="s">
        <v>836</v>
      </c>
      <c r="K267" s="39">
        <v>0</v>
      </c>
      <c r="L267" s="39">
        <v>5</v>
      </c>
      <c r="M267" s="39"/>
      <c r="N267" s="39"/>
      <c r="O267" s="17" t="s">
        <v>1244</v>
      </c>
    </row>
    <row r="268" spans="1:16">
      <c r="A268" s="8" t="s">
        <v>16</v>
      </c>
      <c r="B268" s="8" t="s">
        <v>333</v>
      </c>
      <c r="C268" s="8" t="s">
        <v>16</v>
      </c>
      <c r="D268" s="11" t="s">
        <v>16</v>
      </c>
      <c r="E268" s="7" t="str">
        <f t="shared" si="24"/>
        <v>02090202</v>
      </c>
      <c r="F268" s="1" t="s">
        <v>1221</v>
      </c>
      <c r="G268" s="1" t="str">
        <f t="shared" si="27"/>
        <v>抽屉09硬质合金钻头</v>
      </c>
      <c r="H268" t="str">
        <f t="shared" si="25"/>
        <v>行号02</v>
      </c>
      <c r="I268" s="1" t="str">
        <f t="shared" si="26"/>
        <v>序号02</v>
      </c>
      <c r="J268" s="36" t="s">
        <v>837</v>
      </c>
      <c r="K268" s="39">
        <v>0</v>
      </c>
      <c r="L268" s="39">
        <v>5</v>
      </c>
      <c r="M268" s="39"/>
      <c r="N268" s="39"/>
      <c r="O268" s="17" t="s">
        <v>1244</v>
      </c>
    </row>
    <row r="269" spans="1:16">
      <c r="A269" s="8" t="s">
        <v>16</v>
      </c>
      <c r="B269" s="8" t="s">
        <v>333</v>
      </c>
      <c r="C269" s="8" t="s">
        <v>16</v>
      </c>
      <c r="D269" s="11" t="s">
        <v>18</v>
      </c>
      <c r="E269" s="7" t="str">
        <f t="shared" si="24"/>
        <v>02090203</v>
      </c>
      <c r="F269" s="1" t="s">
        <v>1221</v>
      </c>
      <c r="G269" s="1" t="str">
        <f t="shared" si="27"/>
        <v>抽屉09硬质合金钻头</v>
      </c>
      <c r="H269" t="str">
        <f t="shared" si="25"/>
        <v>行号02</v>
      </c>
      <c r="I269" s="1" t="str">
        <f t="shared" si="26"/>
        <v>序号03</v>
      </c>
      <c r="J269" s="36" t="s">
        <v>838</v>
      </c>
      <c r="K269" s="39">
        <v>0</v>
      </c>
      <c r="L269" s="39">
        <v>5</v>
      </c>
      <c r="M269" s="39"/>
      <c r="N269" s="39"/>
      <c r="O269" s="17" t="s">
        <v>1244</v>
      </c>
    </row>
    <row r="270" spans="1:16">
      <c r="A270" s="8" t="s">
        <v>16</v>
      </c>
      <c r="B270" s="8" t="s">
        <v>333</v>
      </c>
      <c r="C270" s="8" t="s">
        <v>16</v>
      </c>
      <c r="D270" s="11" t="s">
        <v>20</v>
      </c>
      <c r="E270" s="7" t="str">
        <f t="shared" si="24"/>
        <v>02090204</v>
      </c>
      <c r="F270" s="1" t="s">
        <v>1221</v>
      </c>
      <c r="G270" s="1" t="str">
        <f t="shared" si="27"/>
        <v>抽屉09硬质合金钻头</v>
      </c>
      <c r="H270" t="str">
        <f t="shared" si="25"/>
        <v>行号02</v>
      </c>
      <c r="I270" s="1" t="str">
        <f t="shared" si="26"/>
        <v>序号04</v>
      </c>
      <c r="J270" s="36" t="s">
        <v>839</v>
      </c>
      <c r="K270" s="39">
        <v>0</v>
      </c>
      <c r="L270" s="39">
        <v>5</v>
      </c>
      <c r="M270" s="39"/>
      <c r="N270" s="39"/>
      <c r="O270" s="17" t="s">
        <v>1244</v>
      </c>
    </row>
    <row r="271" spans="1:16">
      <c r="A271" s="8" t="s">
        <v>16</v>
      </c>
      <c r="B271" s="8" t="s">
        <v>333</v>
      </c>
      <c r="C271" s="8" t="s">
        <v>16</v>
      </c>
      <c r="D271" s="11" t="s">
        <v>22</v>
      </c>
      <c r="E271" s="7" t="str">
        <f t="shared" si="24"/>
        <v>02090205</v>
      </c>
      <c r="F271" s="1" t="s">
        <v>1221</v>
      </c>
      <c r="G271" s="1" t="str">
        <f t="shared" si="27"/>
        <v>抽屉09硬质合金钻头</v>
      </c>
      <c r="H271" t="str">
        <f t="shared" si="25"/>
        <v>行号02</v>
      </c>
      <c r="I271" s="1" t="str">
        <f t="shared" si="26"/>
        <v>序号05</v>
      </c>
      <c r="J271" s="36" t="s">
        <v>840</v>
      </c>
      <c r="K271" s="39">
        <v>0</v>
      </c>
      <c r="L271" s="39">
        <v>5</v>
      </c>
      <c r="M271" s="39"/>
      <c r="N271" s="39"/>
      <c r="O271" s="17" t="s">
        <v>1244</v>
      </c>
      <c r="P271" s="31">
        <v>969391</v>
      </c>
    </row>
    <row r="272" spans="1:16">
      <c r="A272" s="8" t="s">
        <v>16</v>
      </c>
      <c r="B272" s="8" t="s">
        <v>333</v>
      </c>
      <c r="C272" s="8" t="s">
        <v>16</v>
      </c>
      <c r="D272" s="11" t="s">
        <v>24</v>
      </c>
      <c r="E272" s="7" t="str">
        <f t="shared" si="24"/>
        <v>02090206</v>
      </c>
      <c r="F272" s="1" t="s">
        <v>1221</v>
      </c>
      <c r="G272" s="1" t="str">
        <f t="shared" si="27"/>
        <v>抽屉09硬质合金钻头</v>
      </c>
      <c r="H272" t="str">
        <f t="shared" si="25"/>
        <v>行号02</v>
      </c>
      <c r="I272" s="1" t="str">
        <f t="shared" si="26"/>
        <v>序号06</v>
      </c>
      <c r="J272" s="36"/>
      <c r="K272" s="39"/>
      <c r="L272" s="39"/>
      <c r="M272" s="39">
        <v>0</v>
      </c>
      <c r="N272" s="39">
        <v>0</v>
      </c>
    </row>
    <row r="273" spans="1:16">
      <c r="A273" s="8" t="s">
        <v>16</v>
      </c>
      <c r="B273" s="8" t="s">
        <v>333</v>
      </c>
      <c r="C273" s="8" t="s">
        <v>16</v>
      </c>
      <c r="D273" s="11" t="s">
        <v>26</v>
      </c>
      <c r="E273" s="7" t="str">
        <f t="shared" si="24"/>
        <v>02090207</v>
      </c>
      <c r="F273" s="1" t="s">
        <v>1221</v>
      </c>
      <c r="G273" s="1" t="str">
        <f t="shared" si="27"/>
        <v>抽屉09硬质合金钻头</v>
      </c>
      <c r="H273" t="str">
        <f t="shared" si="25"/>
        <v>行号02</v>
      </c>
      <c r="I273" s="1" t="str">
        <f t="shared" si="26"/>
        <v>序号07</v>
      </c>
      <c r="J273" s="24"/>
      <c r="K273" s="41"/>
      <c r="L273" s="41"/>
      <c r="M273" s="41">
        <v>0</v>
      </c>
      <c r="N273" s="41">
        <v>0</v>
      </c>
    </row>
    <row r="274" spans="1:16">
      <c r="A274" s="8" t="s">
        <v>16</v>
      </c>
      <c r="B274" s="8" t="s">
        <v>333</v>
      </c>
      <c r="C274" s="8" t="s">
        <v>16</v>
      </c>
      <c r="D274" s="11" t="s">
        <v>28</v>
      </c>
      <c r="E274" s="7" t="str">
        <f t="shared" si="24"/>
        <v>02090208</v>
      </c>
      <c r="F274" s="1" t="s">
        <v>1221</v>
      </c>
      <c r="G274" s="1" t="str">
        <f t="shared" si="27"/>
        <v>抽屉09硬质合金钻头</v>
      </c>
      <c r="H274" t="str">
        <f t="shared" si="25"/>
        <v>行号02</v>
      </c>
      <c r="I274" s="1" t="str">
        <f t="shared" si="26"/>
        <v>序号08</v>
      </c>
      <c r="J274" s="24"/>
      <c r="K274" s="41"/>
      <c r="L274" s="41"/>
      <c r="M274" s="41">
        <v>0</v>
      </c>
      <c r="N274" s="41">
        <v>0</v>
      </c>
    </row>
    <row r="275" spans="1:16">
      <c r="A275" s="8" t="s">
        <v>16</v>
      </c>
      <c r="B275" s="8" t="s">
        <v>333</v>
      </c>
      <c r="C275" s="10" t="s">
        <v>18</v>
      </c>
      <c r="D275" s="8" t="s">
        <v>14</v>
      </c>
      <c r="E275" s="7" t="str">
        <f t="shared" si="24"/>
        <v>02090301</v>
      </c>
      <c r="F275" s="1" t="s">
        <v>1221</v>
      </c>
      <c r="G275" s="1" t="str">
        <f t="shared" si="27"/>
        <v>抽屉09硬质合金钻头</v>
      </c>
      <c r="H275" t="str">
        <f t="shared" si="25"/>
        <v>行号03</v>
      </c>
      <c r="I275" s="1" t="str">
        <f t="shared" si="26"/>
        <v>序号01</v>
      </c>
      <c r="J275" s="36" t="s">
        <v>841</v>
      </c>
      <c r="K275" s="39">
        <v>0</v>
      </c>
      <c r="L275" s="39">
        <v>5</v>
      </c>
      <c r="M275" s="39"/>
      <c r="N275" s="39"/>
      <c r="O275" s="23" t="s">
        <v>1239</v>
      </c>
    </row>
    <row r="276" spans="1:16">
      <c r="A276" s="8" t="s">
        <v>16</v>
      </c>
      <c r="B276" s="8" t="s">
        <v>333</v>
      </c>
      <c r="C276" s="10" t="s">
        <v>18</v>
      </c>
      <c r="D276" s="8" t="s">
        <v>16</v>
      </c>
      <c r="E276" s="7" t="str">
        <f t="shared" si="24"/>
        <v>02090302</v>
      </c>
      <c r="F276" s="1" t="s">
        <v>1221</v>
      </c>
      <c r="G276" s="1" t="str">
        <f t="shared" si="27"/>
        <v>抽屉09硬质合金钻头</v>
      </c>
      <c r="H276" t="str">
        <f t="shared" si="25"/>
        <v>行号03</v>
      </c>
      <c r="I276" s="1" t="str">
        <f t="shared" si="26"/>
        <v>序号02</v>
      </c>
      <c r="J276" s="36" t="s">
        <v>842</v>
      </c>
      <c r="K276" s="39">
        <v>0</v>
      </c>
      <c r="L276" s="39">
        <v>5</v>
      </c>
      <c r="M276" s="39"/>
      <c r="N276" s="39"/>
      <c r="O276" s="23" t="s">
        <v>1239</v>
      </c>
      <c r="P276" s="31">
        <v>996923</v>
      </c>
    </row>
    <row r="277" spans="1:16">
      <c r="A277" s="8" t="s">
        <v>16</v>
      </c>
      <c r="B277" s="8" t="s">
        <v>333</v>
      </c>
      <c r="C277" s="10" t="s">
        <v>18</v>
      </c>
      <c r="D277" s="8" t="s">
        <v>18</v>
      </c>
      <c r="E277" s="7" t="str">
        <f t="shared" si="24"/>
        <v>02090303</v>
      </c>
      <c r="F277" s="1" t="s">
        <v>1221</v>
      </c>
      <c r="G277" s="1" t="str">
        <f t="shared" si="27"/>
        <v>抽屉09硬质合金钻头</v>
      </c>
      <c r="H277" t="str">
        <f t="shared" si="25"/>
        <v>行号03</v>
      </c>
      <c r="I277" s="1" t="str">
        <f t="shared" si="26"/>
        <v>序号03</v>
      </c>
      <c r="J277" s="36" t="s">
        <v>843</v>
      </c>
      <c r="K277" s="39">
        <v>0</v>
      </c>
      <c r="L277" s="39">
        <v>5</v>
      </c>
      <c r="M277" s="39"/>
      <c r="N277" s="39"/>
      <c r="O277" s="23" t="s">
        <v>1239</v>
      </c>
    </row>
    <row r="278" spans="1:16">
      <c r="A278" s="8" t="s">
        <v>16</v>
      </c>
      <c r="B278" s="8" t="s">
        <v>333</v>
      </c>
      <c r="C278" s="10" t="s">
        <v>18</v>
      </c>
      <c r="D278" s="8" t="s">
        <v>20</v>
      </c>
      <c r="E278" s="7" t="str">
        <f t="shared" si="24"/>
        <v>02090304</v>
      </c>
      <c r="F278" s="1" t="s">
        <v>1221</v>
      </c>
      <c r="G278" s="1" t="str">
        <f t="shared" si="27"/>
        <v>抽屉09硬质合金钻头</v>
      </c>
      <c r="H278" t="str">
        <f t="shared" si="25"/>
        <v>行号03</v>
      </c>
      <c r="I278" s="1" t="str">
        <f t="shared" si="26"/>
        <v>序号04</v>
      </c>
      <c r="J278" s="36" t="s">
        <v>844</v>
      </c>
      <c r="K278" s="39">
        <v>0</v>
      </c>
      <c r="L278" s="39">
        <v>5</v>
      </c>
      <c r="M278" s="39"/>
      <c r="N278" s="39"/>
      <c r="O278" s="23" t="s">
        <v>1239</v>
      </c>
    </row>
    <row r="279" spans="1:16">
      <c r="A279" s="8" t="s">
        <v>16</v>
      </c>
      <c r="B279" s="8" t="s">
        <v>333</v>
      </c>
      <c r="C279" s="10" t="s">
        <v>18</v>
      </c>
      <c r="D279" s="8" t="s">
        <v>22</v>
      </c>
      <c r="E279" s="7" t="str">
        <f t="shared" si="24"/>
        <v>02090305</v>
      </c>
      <c r="F279" s="1" t="s">
        <v>1221</v>
      </c>
      <c r="G279" s="1" t="str">
        <f t="shared" si="27"/>
        <v>抽屉09硬质合金钻头</v>
      </c>
      <c r="H279" t="str">
        <f t="shared" si="25"/>
        <v>行号03</v>
      </c>
      <c r="I279" s="1" t="str">
        <f t="shared" si="26"/>
        <v>序号05</v>
      </c>
      <c r="J279" s="38"/>
      <c r="K279" s="41"/>
      <c r="L279" s="41"/>
      <c r="M279" s="41">
        <v>0</v>
      </c>
      <c r="N279" s="41">
        <v>0</v>
      </c>
    </row>
    <row r="280" spans="1:16">
      <c r="A280" s="8" t="s">
        <v>16</v>
      </c>
      <c r="B280" s="8" t="s">
        <v>333</v>
      </c>
      <c r="C280" s="10" t="s">
        <v>18</v>
      </c>
      <c r="D280" s="8" t="s">
        <v>24</v>
      </c>
      <c r="E280" s="7" t="str">
        <f t="shared" si="24"/>
        <v>02090306</v>
      </c>
      <c r="F280" s="1" t="s">
        <v>1221</v>
      </c>
      <c r="G280" s="1" t="str">
        <f t="shared" si="27"/>
        <v>抽屉09硬质合金钻头</v>
      </c>
      <c r="H280" t="str">
        <f t="shared" si="25"/>
        <v>行号03</v>
      </c>
      <c r="I280" s="1" t="str">
        <f t="shared" si="26"/>
        <v>序号06</v>
      </c>
      <c r="J280" s="38"/>
      <c r="K280" s="41"/>
      <c r="L280" s="41"/>
      <c r="M280" s="41">
        <v>0</v>
      </c>
      <c r="N280" s="41">
        <v>0</v>
      </c>
    </row>
    <row r="281" spans="1:16">
      <c r="A281" s="8" t="s">
        <v>16</v>
      </c>
      <c r="B281" s="8" t="s">
        <v>333</v>
      </c>
      <c r="C281" s="10" t="s">
        <v>18</v>
      </c>
      <c r="D281" s="8" t="s">
        <v>26</v>
      </c>
      <c r="E281" s="7" t="str">
        <f t="shared" si="24"/>
        <v>02090307</v>
      </c>
      <c r="F281" s="1" t="s">
        <v>1221</v>
      </c>
      <c r="G281" s="1" t="str">
        <f t="shared" si="27"/>
        <v>抽屉09硬质合金钻头</v>
      </c>
      <c r="H281" t="str">
        <f t="shared" si="25"/>
        <v>行号03</v>
      </c>
      <c r="I281" s="1" t="str">
        <f t="shared" si="26"/>
        <v>序号07</v>
      </c>
      <c r="J281" s="38"/>
      <c r="K281" s="41"/>
      <c r="L281" s="41"/>
      <c r="M281" s="41">
        <v>0</v>
      </c>
      <c r="N281" s="41">
        <v>0</v>
      </c>
    </row>
    <row r="282" spans="1:16">
      <c r="A282" s="8" t="s">
        <v>16</v>
      </c>
      <c r="B282" s="8" t="s">
        <v>333</v>
      </c>
      <c r="C282" s="10" t="s">
        <v>18</v>
      </c>
      <c r="D282" s="8" t="s">
        <v>28</v>
      </c>
      <c r="E282" s="7" t="str">
        <f t="shared" si="24"/>
        <v>02090308</v>
      </c>
      <c r="F282" s="1" t="s">
        <v>1221</v>
      </c>
      <c r="G282" s="1" t="str">
        <f t="shared" si="27"/>
        <v>抽屉09硬质合金钻头</v>
      </c>
      <c r="H282" t="str">
        <f t="shared" si="25"/>
        <v>行号03</v>
      </c>
      <c r="I282" s="1" t="str">
        <f t="shared" si="26"/>
        <v>序号08</v>
      </c>
      <c r="J282" s="24"/>
      <c r="K282" s="41"/>
      <c r="L282" s="41"/>
      <c r="M282" s="41">
        <v>0</v>
      </c>
      <c r="N282" s="41">
        <v>0</v>
      </c>
    </row>
    <row r="283" spans="1:16">
      <c r="A283" s="8" t="s">
        <v>16</v>
      </c>
      <c r="B283" s="8" t="s">
        <v>333</v>
      </c>
      <c r="C283" s="8" t="s">
        <v>20</v>
      </c>
      <c r="D283" s="11" t="s">
        <v>14</v>
      </c>
      <c r="E283" s="7" t="str">
        <f t="shared" si="24"/>
        <v>02090401</v>
      </c>
      <c r="F283" s="1" t="s">
        <v>1221</v>
      </c>
      <c r="G283" s="1" t="str">
        <f t="shared" si="27"/>
        <v>抽屉09硬质合金钻头</v>
      </c>
      <c r="H283" t="str">
        <f t="shared" si="25"/>
        <v>行号04</v>
      </c>
      <c r="I283" s="1" t="str">
        <f t="shared" si="26"/>
        <v>序号01</v>
      </c>
      <c r="J283" s="36" t="s">
        <v>845</v>
      </c>
      <c r="K283" s="39">
        <v>0</v>
      </c>
      <c r="L283" s="39">
        <v>5</v>
      </c>
      <c r="M283" s="39"/>
      <c r="N283" s="39"/>
      <c r="O283" s="23" t="s">
        <v>1239</v>
      </c>
    </row>
    <row r="284" spans="1:16">
      <c r="A284" s="8" t="s">
        <v>16</v>
      </c>
      <c r="B284" s="8" t="s">
        <v>333</v>
      </c>
      <c r="C284" s="8" t="s">
        <v>20</v>
      </c>
      <c r="D284" s="11" t="s">
        <v>16</v>
      </c>
      <c r="E284" s="7" t="str">
        <f t="shared" si="24"/>
        <v>02090402</v>
      </c>
      <c r="F284" s="1" t="s">
        <v>1221</v>
      </c>
      <c r="G284" s="1" t="str">
        <f t="shared" si="27"/>
        <v>抽屉09硬质合金钻头</v>
      </c>
      <c r="H284" t="str">
        <f t="shared" si="25"/>
        <v>行号04</v>
      </c>
      <c r="I284" s="1" t="str">
        <f t="shared" si="26"/>
        <v>序号02</v>
      </c>
      <c r="J284" s="36" t="s">
        <v>846</v>
      </c>
      <c r="K284" s="39">
        <v>0</v>
      </c>
      <c r="L284" s="39">
        <v>5</v>
      </c>
      <c r="M284" s="39"/>
      <c r="N284" s="39"/>
      <c r="O284" s="23" t="s">
        <v>1234</v>
      </c>
    </row>
    <row r="285" spans="1:16">
      <c r="A285" s="8" t="s">
        <v>16</v>
      </c>
      <c r="B285" s="8" t="s">
        <v>333</v>
      </c>
      <c r="C285" s="8" t="s">
        <v>20</v>
      </c>
      <c r="D285" s="11" t="s">
        <v>18</v>
      </c>
      <c r="E285" s="7" t="str">
        <f t="shared" si="24"/>
        <v>02090403</v>
      </c>
      <c r="F285" s="1" t="s">
        <v>1221</v>
      </c>
      <c r="G285" s="1" t="str">
        <f t="shared" si="27"/>
        <v>抽屉09硬质合金钻头</v>
      </c>
      <c r="H285" t="str">
        <f t="shared" si="25"/>
        <v>行号04</v>
      </c>
      <c r="I285" s="1" t="str">
        <f t="shared" si="26"/>
        <v>序号03</v>
      </c>
      <c r="J285" s="36" t="s">
        <v>847</v>
      </c>
      <c r="K285" s="39">
        <v>0</v>
      </c>
      <c r="L285" s="39">
        <v>5</v>
      </c>
      <c r="M285" s="39"/>
      <c r="N285" s="39"/>
      <c r="O285" s="23" t="s">
        <v>1234</v>
      </c>
    </row>
    <row r="286" spans="1:16">
      <c r="A286" s="8" t="s">
        <v>16</v>
      </c>
      <c r="B286" s="8" t="s">
        <v>333</v>
      </c>
      <c r="C286" s="8" t="s">
        <v>20</v>
      </c>
      <c r="D286" s="11" t="s">
        <v>20</v>
      </c>
      <c r="E286" s="7" t="str">
        <f t="shared" si="24"/>
        <v>02090404</v>
      </c>
      <c r="F286" s="1" t="s">
        <v>1221</v>
      </c>
      <c r="G286" s="1" t="str">
        <f t="shared" si="27"/>
        <v>抽屉09硬质合金钻头</v>
      </c>
      <c r="H286" t="str">
        <f t="shared" si="25"/>
        <v>行号04</v>
      </c>
      <c r="I286" s="1" t="str">
        <f t="shared" si="26"/>
        <v>序号04</v>
      </c>
      <c r="J286" s="36" t="s">
        <v>848</v>
      </c>
      <c r="K286" s="39">
        <v>0</v>
      </c>
      <c r="L286" s="39">
        <v>5</v>
      </c>
      <c r="M286" s="39"/>
      <c r="N286" s="39"/>
      <c r="O286" s="23" t="s">
        <v>1234</v>
      </c>
    </row>
    <row r="287" spans="1:16">
      <c r="A287" s="8" t="s">
        <v>16</v>
      </c>
      <c r="B287" s="8" t="s">
        <v>333</v>
      </c>
      <c r="C287" s="8" t="s">
        <v>20</v>
      </c>
      <c r="D287" s="11" t="s">
        <v>22</v>
      </c>
      <c r="E287" s="7" t="str">
        <f t="shared" si="24"/>
        <v>02090405</v>
      </c>
      <c r="F287" s="1" t="s">
        <v>1221</v>
      </c>
      <c r="G287" s="1" t="str">
        <f t="shared" si="27"/>
        <v>抽屉09硬质合金钻头</v>
      </c>
      <c r="H287" t="str">
        <f t="shared" si="25"/>
        <v>行号04</v>
      </c>
      <c r="I287" s="1" t="str">
        <f t="shared" si="26"/>
        <v>序号05</v>
      </c>
      <c r="J287" s="38"/>
      <c r="K287" s="41"/>
      <c r="L287" s="41"/>
      <c r="M287" s="41">
        <v>0</v>
      </c>
      <c r="N287" s="41">
        <v>0</v>
      </c>
    </row>
    <row r="288" spans="1:16">
      <c r="A288" s="8" t="s">
        <v>16</v>
      </c>
      <c r="B288" s="8" t="s">
        <v>333</v>
      </c>
      <c r="C288" s="8" t="s">
        <v>20</v>
      </c>
      <c r="D288" s="11" t="s">
        <v>24</v>
      </c>
      <c r="E288" s="7" t="str">
        <f t="shared" si="24"/>
        <v>02090406</v>
      </c>
      <c r="F288" s="1" t="s">
        <v>1221</v>
      </c>
      <c r="G288" s="1" t="str">
        <f t="shared" si="27"/>
        <v>抽屉09硬质合金钻头</v>
      </c>
      <c r="H288" t="str">
        <f t="shared" si="25"/>
        <v>行号04</v>
      </c>
      <c r="I288" s="1" t="str">
        <f t="shared" si="26"/>
        <v>序号06</v>
      </c>
      <c r="J288" s="36" t="s">
        <v>849</v>
      </c>
      <c r="K288" s="39">
        <v>0</v>
      </c>
      <c r="L288" s="39">
        <v>5</v>
      </c>
      <c r="M288" s="39"/>
      <c r="N288" s="39"/>
      <c r="O288" s="23" t="s">
        <v>1234</v>
      </c>
    </row>
    <row r="289" spans="1:16">
      <c r="A289" s="8" t="s">
        <v>16</v>
      </c>
      <c r="B289" s="8" t="s">
        <v>333</v>
      </c>
      <c r="C289" s="8" t="s">
        <v>20</v>
      </c>
      <c r="D289" s="11" t="s">
        <v>26</v>
      </c>
      <c r="E289" s="7" t="str">
        <f t="shared" si="24"/>
        <v>02090407</v>
      </c>
      <c r="F289" s="1" t="s">
        <v>1221</v>
      </c>
      <c r="G289" s="1" t="str">
        <f t="shared" si="27"/>
        <v>抽屉09硬质合金钻头</v>
      </c>
      <c r="H289" t="str">
        <f t="shared" si="25"/>
        <v>行号04</v>
      </c>
      <c r="I289" s="1" t="str">
        <f t="shared" si="26"/>
        <v>序号07</v>
      </c>
      <c r="J289" s="36" t="s">
        <v>850</v>
      </c>
      <c r="K289" s="39">
        <v>0</v>
      </c>
      <c r="L289" s="39">
        <v>5</v>
      </c>
      <c r="M289" s="39"/>
      <c r="N289" s="39"/>
      <c r="O289" s="23" t="s">
        <v>1234</v>
      </c>
    </row>
    <row r="290" spans="1:16">
      <c r="A290" s="8" t="s">
        <v>16</v>
      </c>
      <c r="B290" s="8" t="s">
        <v>333</v>
      </c>
      <c r="C290" s="8" t="s">
        <v>20</v>
      </c>
      <c r="D290" s="11" t="s">
        <v>28</v>
      </c>
      <c r="E290" s="7" t="str">
        <f t="shared" si="24"/>
        <v>02090408</v>
      </c>
      <c r="F290" s="1" t="s">
        <v>1221</v>
      </c>
      <c r="G290" s="1" t="str">
        <f t="shared" si="27"/>
        <v>抽屉09硬质合金钻头</v>
      </c>
      <c r="H290" t="str">
        <f t="shared" si="25"/>
        <v>行号04</v>
      </c>
      <c r="I290" s="1" t="str">
        <f t="shared" si="26"/>
        <v>序号08</v>
      </c>
      <c r="J290" s="36" t="s">
        <v>851</v>
      </c>
      <c r="K290" s="39">
        <v>0</v>
      </c>
      <c r="L290" s="39">
        <v>5</v>
      </c>
      <c r="M290" s="39"/>
      <c r="N290" s="39"/>
      <c r="O290" s="23" t="s">
        <v>1234</v>
      </c>
    </row>
    <row r="291" spans="1:16">
      <c r="A291" s="8" t="s">
        <v>16</v>
      </c>
      <c r="B291" s="8" t="s">
        <v>352</v>
      </c>
      <c r="C291" s="10" t="s">
        <v>14</v>
      </c>
      <c r="D291" s="8" t="s">
        <v>14</v>
      </c>
      <c r="E291" s="7" t="str">
        <f t="shared" si="24"/>
        <v>020100101</v>
      </c>
      <c r="F291" s="1" t="s">
        <v>1221</v>
      </c>
      <c r="G291" s="1" t="str">
        <f>"抽屉"&amp;B291&amp;"硬质合金钻头"</f>
        <v>抽屉010硬质合金钻头</v>
      </c>
      <c r="H291" t="str">
        <f t="shared" si="25"/>
        <v>行号01</v>
      </c>
      <c r="I291" s="1" t="str">
        <f t="shared" si="26"/>
        <v>序号01</v>
      </c>
      <c r="J291" s="36" t="s">
        <v>852</v>
      </c>
      <c r="K291" s="39"/>
      <c r="L291" s="39"/>
      <c r="M291" s="39"/>
      <c r="N291" s="39"/>
      <c r="O291" s="23" t="s">
        <v>1234</v>
      </c>
    </row>
    <row r="292" spans="1:16">
      <c r="A292" s="8" t="s">
        <v>16</v>
      </c>
      <c r="B292" s="8" t="s">
        <v>352</v>
      </c>
      <c r="C292" s="10" t="s">
        <v>14</v>
      </c>
      <c r="D292" s="8" t="s">
        <v>16</v>
      </c>
      <c r="E292" s="7" t="str">
        <f t="shared" si="24"/>
        <v>020100102</v>
      </c>
      <c r="F292" s="1" t="s">
        <v>1221</v>
      </c>
      <c r="G292" s="1" t="str">
        <f t="shared" ref="G292:G322" si="28">"抽屉"&amp;B292&amp;"硬质合金钻头"</f>
        <v>抽屉010硬质合金钻头</v>
      </c>
      <c r="H292" t="str">
        <f t="shared" si="25"/>
        <v>行号01</v>
      </c>
      <c r="I292" s="1" t="str">
        <f t="shared" si="26"/>
        <v>序号02</v>
      </c>
      <c r="J292" s="36" t="s">
        <v>852</v>
      </c>
      <c r="K292" s="39">
        <v>0</v>
      </c>
      <c r="L292" s="39">
        <v>5</v>
      </c>
      <c r="M292" s="39"/>
      <c r="N292" s="39"/>
      <c r="O292" s="23" t="s">
        <v>1235</v>
      </c>
    </row>
    <row r="293" spans="1:16">
      <c r="A293" s="8" t="s">
        <v>16</v>
      </c>
      <c r="B293" s="8" t="s">
        <v>352</v>
      </c>
      <c r="C293" s="10" t="s">
        <v>14</v>
      </c>
      <c r="D293" s="8" t="s">
        <v>18</v>
      </c>
      <c r="E293" s="7" t="str">
        <f t="shared" si="24"/>
        <v>020100103</v>
      </c>
      <c r="F293" s="1" t="s">
        <v>1221</v>
      </c>
      <c r="G293" s="1" t="str">
        <f t="shared" si="28"/>
        <v>抽屉010硬质合金钻头</v>
      </c>
      <c r="H293" t="str">
        <f t="shared" si="25"/>
        <v>行号01</v>
      </c>
      <c r="I293" s="1" t="str">
        <f t="shared" si="26"/>
        <v>序号03</v>
      </c>
      <c r="J293" s="36" t="s">
        <v>853</v>
      </c>
      <c r="K293" s="39">
        <v>0</v>
      </c>
      <c r="L293" s="39">
        <v>5</v>
      </c>
      <c r="M293" s="39"/>
      <c r="N293" s="39"/>
      <c r="O293" s="23" t="s">
        <v>1239</v>
      </c>
    </row>
    <row r="294" spans="1:16">
      <c r="A294" s="8" t="s">
        <v>16</v>
      </c>
      <c r="B294" s="8" t="s">
        <v>352</v>
      </c>
      <c r="C294" s="10" t="s">
        <v>14</v>
      </c>
      <c r="D294" s="8" t="s">
        <v>20</v>
      </c>
      <c r="E294" s="7" t="str">
        <f t="shared" si="24"/>
        <v>020100104</v>
      </c>
      <c r="F294" s="1" t="s">
        <v>1221</v>
      </c>
      <c r="G294" s="1" t="str">
        <f t="shared" si="28"/>
        <v>抽屉010硬质合金钻头</v>
      </c>
      <c r="H294" t="str">
        <f t="shared" si="25"/>
        <v>行号01</v>
      </c>
      <c r="I294" s="1" t="str">
        <f t="shared" si="26"/>
        <v>序号04</v>
      </c>
      <c r="J294" s="36" t="s">
        <v>854</v>
      </c>
      <c r="K294" s="39">
        <v>0</v>
      </c>
      <c r="L294" s="39">
        <v>5</v>
      </c>
      <c r="M294" s="39"/>
      <c r="N294" s="39"/>
      <c r="O294" s="23" t="s">
        <v>1239</v>
      </c>
      <c r="P294" s="31">
        <v>788232</v>
      </c>
    </row>
    <row r="295" spans="1:16">
      <c r="A295" s="8" t="s">
        <v>16</v>
      </c>
      <c r="B295" s="8" t="s">
        <v>352</v>
      </c>
      <c r="C295" s="10" t="s">
        <v>14</v>
      </c>
      <c r="D295" s="8" t="s">
        <v>22</v>
      </c>
      <c r="E295" s="7" t="str">
        <f t="shared" si="24"/>
        <v>020100105</v>
      </c>
      <c r="F295" s="1" t="s">
        <v>1221</v>
      </c>
      <c r="G295" s="1" t="str">
        <f t="shared" si="28"/>
        <v>抽屉010硬质合金钻头</v>
      </c>
      <c r="H295" t="str">
        <f t="shared" si="25"/>
        <v>行号01</v>
      </c>
      <c r="I295" s="1" t="str">
        <f t="shared" si="26"/>
        <v>序号05</v>
      </c>
      <c r="J295" s="38"/>
      <c r="K295" s="41"/>
      <c r="L295" s="41"/>
      <c r="M295" s="41">
        <v>0</v>
      </c>
      <c r="N295" s="41">
        <v>0</v>
      </c>
    </row>
    <row r="296" spans="1:16">
      <c r="A296" s="8" t="s">
        <v>16</v>
      </c>
      <c r="B296" s="8" t="s">
        <v>352</v>
      </c>
      <c r="C296" s="10" t="s">
        <v>14</v>
      </c>
      <c r="D296" s="8" t="s">
        <v>24</v>
      </c>
      <c r="E296" s="7" t="str">
        <f t="shared" si="24"/>
        <v>020100106</v>
      </c>
      <c r="F296" s="1" t="s">
        <v>1221</v>
      </c>
      <c r="G296" s="1" t="str">
        <f t="shared" si="28"/>
        <v>抽屉010硬质合金钻头</v>
      </c>
      <c r="H296" t="str">
        <f t="shared" si="25"/>
        <v>行号01</v>
      </c>
      <c r="I296" s="1" t="str">
        <f t="shared" si="26"/>
        <v>序号06</v>
      </c>
      <c r="J296" s="38"/>
      <c r="K296" s="41"/>
      <c r="L296" s="41"/>
      <c r="M296" s="41">
        <v>0</v>
      </c>
      <c r="N296" s="41">
        <v>0</v>
      </c>
    </row>
    <row r="297" spans="1:16">
      <c r="A297" s="8" t="s">
        <v>16</v>
      </c>
      <c r="B297" s="8" t="s">
        <v>352</v>
      </c>
      <c r="C297" s="10" t="s">
        <v>14</v>
      </c>
      <c r="D297" s="8" t="s">
        <v>26</v>
      </c>
      <c r="E297" s="7" t="str">
        <f t="shared" si="24"/>
        <v>020100107</v>
      </c>
      <c r="F297" s="1" t="s">
        <v>1221</v>
      </c>
      <c r="G297" s="1" t="str">
        <f t="shared" si="28"/>
        <v>抽屉010硬质合金钻头</v>
      </c>
      <c r="H297" t="str">
        <f t="shared" si="25"/>
        <v>行号01</v>
      </c>
      <c r="I297" s="1" t="str">
        <f t="shared" si="26"/>
        <v>序号07</v>
      </c>
      <c r="J297" s="38"/>
      <c r="K297" s="41"/>
      <c r="L297" s="41"/>
      <c r="M297" s="41">
        <v>0</v>
      </c>
      <c r="N297" s="41">
        <v>0</v>
      </c>
    </row>
    <row r="298" spans="1:16">
      <c r="A298" s="8" t="s">
        <v>16</v>
      </c>
      <c r="B298" s="8" t="s">
        <v>352</v>
      </c>
      <c r="C298" s="10" t="s">
        <v>14</v>
      </c>
      <c r="D298" s="8" t="s">
        <v>28</v>
      </c>
      <c r="E298" s="7" t="str">
        <f t="shared" si="24"/>
        <v>020100108</v>
      </c>
      <c r="F298" s="1" t="s">
        <v>1221</v>
      </c>
      <c r="G298" s="1" t="str">
        <f t="shared" si="28"/>
        <v>抽屉010硬质合金钻头</v>
      </c>
      <c r="H298" t="str">
        <f t="shared" si="25"/>
        <v>行号01</v>
      </c>
      <c r="I298" s="1" t="str">
        <f t="shared" si="26"/>
        <v>序号08</v>
      </c>
      <c r="J298" s="38"/>
      <c r="K298" s="41"/>
      <c r="L298" s="41"/>
      <c r="M298" s="41">
        <v>0</v>
      </c>
      <c r="N298" s="41">
        <v>0</v>
      </c>
    </row>
    <row r="299" spans="1:16">
      <c r="A299" s="8" t="s">
        <v>16</v>
      </c>
      <c r="B299" s="8" t="s">
        <v>352</v>
      </c>
      <c r="C299" s="8" t="s">
        <v>16</v>
      </c>
      <c r="D299" s="11" t="s">
        <v>14</v>
      </c>
      <c r="E299" s="7" t="str">
        <f t="shared" si="24"/>
        <v>020100201</v>
      </c>
      <c r="F299" s="1" t="s">
        <v>1221</v>
      </c>
      <c r="G299" s="1" t="str">
        <f t="shared" si="28"/>
        <v>抽屉010硬质合金钻头</v>
      </c>
      <c r="H299" t="str">
        <f t="shared" si="25"/>
        <v>行号02</v>
      </c>
      <c r="I299" s="1" t="str">
        <f t="shared" si="26"/>
        <v>序号01</v>
      </c>
      <c r="J299" s="36" t="s">
        <v>855</v>
      </c>
      <c r="K299" s="39"/>
      <c r="L299" s="39"/>
      <c r="M299" s="39"/>
      <c r="N299" s="39"/>
      <c r="O299" s="23" t="s">
        <v>1239</v>
      </c>
    </row>
    <row r="300" spans="1:16">
      <c r="A300" s="8" t="s">
        <v>16</v>
      </c>
      <c r="B300" s="8" t="s">
        <v>352</v>
      </c>
      <c r="C300" s="8" t="s">
        <v>16</v>
      </c>
      <c r="D300" s="11" t="s">
        <v>16</v>
      </c>
      <c r="E300" s="7" t="str">
        <f t="shared" si="24"/>
        <v>020100202</v>
      </c>
      <c r="F300" s="1" t="s">
        <v>1221</v>
      </c>
      <c r="G300" s="1" t="str">
        <f t="shared" si="28"/>
        <v>抽屉010硬质合金钻头</v>
      </c>
      <c r="H300" t="str">
        <f t="shared" si="25"/>
        <v>行号02</v>
      </c>
      <c r="I300" s="1" t="str">
        <f t="shared" si="26"/>
        <v>序号02</v>
      </c>
      <c r="J300" s="36" t="s">
        <v>856</v>
      </c>
      <c r="K300" s="39"/>
      <c r="L300" s="39"/>
      <c r="M300" s="39"/>
      <c r="N300" s="39"/>
      <c r="O300" s="23" t="s">
        <v>1239</v>
      </c>
    </row>
    <row r="301" spans="1:16">
      <c r="A301" s="8" t="s">
        <v>16</v>
      </c>
      <c r="B301" s="8" t="s">
        <v>352</v>
      </c>
      <c r="C301" s="8" t="s">
        <v>16</v>
      </c>
      <c r="D301" s="11" t="s">
        <v>18</v>
      </c>
      <c r="E301" s="7" t="str">
        <f t="shared" si="24"/>
        <v>020100203</v>
      </c>
      <c r="F301" s="1" t="s">
        <v>1221</v>
      </c>
      <c r="G301" s="1" t="str">
        <f t="shared" si="28"/>
        <v>抽屉010硬质合金钻头</v>
      </c>
      <c r="H301" t="str">
        <f t="shared" si="25"/>
        <v>行号02</v>
      </c>
      <c r="I301" s="1" t="str">
        <f t="shared" si="26"/>
        <v>序号03</v>
      </c>
      <c r="J301" s="36" t="s">
        <v>857</v>
      </c>
      <c r="K301" s="39">
        <v>0</v>
      </c>
      <c r="L301" s="39">
        <v>5</v>
      </c>
      <c r="M301" s="39"/>
      <c r="N301" s="39"/>
      <c r="O301" s="23" t="s">
        <v>1234</v>
      </c>
    </row>
    <row r="302" spans="1:16">
      <c r="A302" s="8" t="s">
        <v>16</v>
      </c>
      <c r="B302" s="8" t="s">
        <v>352</v>
      </c>
      <c r="C302" s="8" t="s">
        <v>16</v>
      </c>
      <c r="D302" s="11" t="s">
        <v>20</v>
      </c>
      <c r="E302" s="7" t="str">
        <f t="shared" si="24"/>
        <v>020100204</v>
      </c>
      <c r="F302" s="1" t="s">
        <v>1221</v>
      </c>
      <c r="G302" s="1" t="str">
        <f t="shared" si="28"/>
        <v>抽屉010硬质合金钻头</v>
      </c>
      <c r="H302" t="str">
        <f t="shared" si="25"/>
        <v>行号02</v>
      </c>
      <c r="I302" s="1" t="str">
        <f t="shared" si="26"/>
        <v>序号04</v>
      </c>
      <c r="J302" s="36" t="s">
        <v>858</v>
      </c>
      <c r="K302" s="39">
        <v>0</v>
      </c>
      <c r="L302" s="39">
        <v>5</v>
      </c>
      <c r="M302" s="39"/>
      <c r="N302" s="39"/>
      <c r="O302" s="23" t="s">
        <v>1233</v>
      </c>
      <c r="P302" s="31">
        <v>791465</v>
      </c>
    </row>
    <row r="303" spans="1:16">
      <c r="A303" s="8" t="s">
        <v>16</v>
      </c>
      <c r="B303" s="8" t="s">
        <v>352</v>
      </c>
      <c r="C303" s="8" t="s">
        <v>16</v>
      </c>
      <c r="D303" s="11" t="s">
        <v>22</v>
      </c>
      <c r="E303" s="7" t="str">
        <f t="shared" si="24"/>
        <v>020100205</v>
      </c>
      <c r="F303" s="1" t="s">
        <v>1221</v>
      </c>
      <c r="G303" s="1" t="str">
        <f t="shared" si="28"/>
        <v>抽屉010硬质合金钻头</v>
      </c>
      <c r="H303" t="str">
        <f t="shared" si="25"/>
        <v>行号02</v>
      </c>
      <c r="I303" s="1" t="str">
        <f t="shared" si="26"/>
        <v>序号05</v>
      </c>
      <c r="J303" s="38"/>
      <c r="K303" s="41"/>
      <c r="L303" s="41"/>
      <c r="M303" s="41">
        <v>0</v>
      </c>
      <c r="N303" s="41">
        <v>0</v>
      </c>
    </row>
    <row r="304" spans="1:16">
      <c r="A304" s="8" t="s">
        <v>16</v>
      </c>
      <c r="B304" s="8" t="s">
        <v>352</v>
      </c>
      <c r="C304" s="8" t="s">
        <v>16</v>
      </c>
      <c r="D304" s="11" t="s">
        <v>24</v>
      </c>
      <c r="E304" s="7" t="str">
        <f t="shared" si="24"/>
        <v>020100206</v>
      </c>
      <c r="F304" s="1" t="s">
        <v>1221</v>
      </c>
      <c r="G304" s="1" t="str">
        <f t="shared" si="28"/>
        <v>抽屉010硬质合金钻头</v>
      </c>
      <c r="H304" t="str">
        <f t="shared" si="25"/>
        <v>行号02</v>
      </c>
      <c r="I304" s="1" t="str">
        <f t="shared" si="26"/>
        <v>序号06</v>
      </c>
      <c r="J304" s="38"/>
      <c r="K304" s="41"/>
      <c r="L304" s="41"/>
      <c r="M304" s="41">
        <v>0</v>
      </c>
      <c r="N304" s="41">
        <v>0</v>
      </c>
    </row>
    <row r="305" spans="1:15">
      <c r="A305" s="8" t="s">
        <v>16</v>
      </c>
      <c r="B305" s="8" t="s">
        <v>352</v>
      </c>
      <c r="C305" s="8" t="s">
        <v>16</v>
      </c>
      <c r="D305" s="11" t="s">
        <v>26</v>
      </c>
      <c r="E305" s="7" t="str">
        <f t="shared" si="24"/>
        <v>020100207</v>
      </c>
      <c r="F305" s="1" t="s">
        <v>1221</v>
      </c>
      <c r="G305" s="1" t="str">
        <f t="shared" si="28"/>
        <v>抽屉010硬质合金钻头</v>
      </c>
      <c r="H305" t="str">
        <f t="shared" si="25"/>
        <v>行号02</v>
      </c>
      <c r="I305" s="1" t="str">
        <f t="shared" si="26"/>
        <v>序号07</v>
      </c>
      <c r="J305" s="24"/>
      <c r="K305" s="41"/>
      <c r="L305" s="41"/>
      <c r="M305" s="41">
        <v>0</v>
      </c>
      <c r="N305" s="41">
        <v>0</v>
      </c>
    </row>
    <row r="306" spans="1:15">
      <c r="A306" s="8" t="s">
        <v>16</v>
      </c>
      <c r="B306" s="8" t="s">
        <v>352</v>
      </c>
      <c r="C306" s="8" t="s">
        <v>16</v>
      </c>
      <c r="D306" s="11" t="s">
        <v>28</v>
      </c>
      <c r="E306" s="7" t="str">
        <f t="shared" si="24"/>
        <v>020100208</v>
      </c>
      <c r="F306" s="1" t="s">
        <v>1221</v>
      </c>
      <c r="G306" s="1" t="str">
        <f t="shared" si="28"/>
        <v>抽屉010硬质合金钻头</v>
      </c>
      <c r="H306" t="str">
        <f t="shared" si="25"/>
        <v>行号02</v>
      </c>
      <c r="I306" s="1" t="str">
        <f t="shared" si="26"/>
        <v>序号08</v>
      </c>
      <c r="J306" s="24"/>
      <c r="K306" s="41"/>
      <c r="L306" s="41"/>
      <c r="M306" s="41">
        <v>0</v>
      </c>
      <c r="N306" s="41">
        <v>0</v>
      </c>
    </row>
    <row r="307" spans="1:15">
      <c r="A307" s="8" t="s">
        <v>16</v>
      </c>
      <c r="B307" s="8" t="s">
        <v>352</v>
      </c>
      <c r="C307" s="10" t="s">
        <v>18</v>
      </c>
      <c r="D307" s="8" t="s">
        <v>14</v>
      </c>
      <c r="E307" s="7" t="str">
        <f t="shared" si="24"/>
        <v>020100301</v>
      </c>
      <c r="F307" s="1" t="s">
        <v>1221</v>
      </c>
      <c r="G307" s="1" t="str">
        <f t="shared" si="28"/>
        <v>抽屉010硬质合金钻头</v>
      </c>
      <c r="H307" t="str">
        <f t="shared" si="25"/>
        <v>行号03</v>
      </c>
      <c r="I307" s="1" t="str">
        <f t="shared" si="26"/>
        <v>序号01</v>
      </c>
      <c r="J307" s="36" t="s">
        <v>859</v>
      </c>
      <c r="K307" s="39"/>
      <c r="L307" s="39"/>
      <c r="M307" s="39"/>
      <c r="N307" s="39"/>
      <c r="O307" s="23" t="s">
        <v>1237</v>
      </c>
    </row>
    <row r="308" spans="1:15">
      <c r="A308" s="8" t="s">
        <v>16</v>
      </c>
      <c r="B308" s="8" t="s">
        <v>352</v>
      </c>
      <c r="C308" s="10" t="s">
        <v>18</v>
      </c>
      <c r="D308" s="8" t="s">
        <v>16</v>
      </c>
      <c r="E308" s="7" t="str">
        <f t="shared" si="24"/>
        <v>020100302</v>
      </c>
      <c r="F308" s="1" t="s">
        <v>1221</v>
      </c>
      <c r="G308" s="1" t="str">
        <f t="shared" si="28"/>
        <v>抽屉010硬质合金钻头</v>
      </c>
      <c r="H308" t="str">
        <f t="shared" si="25"/>
        <v>行号03</v>
      </c>
      <c r="I308" s="1" t="str">
        <f t="shared" si="26"/>
        <v>序号02</v>
      </c>
      <c r="J308" s="36" t="s">
        <v>860</v>
      </c>
      <c r="K308" s="39"/>
      <c r="L308" s="39"/>
      <c r="M308" s="39"/>
      <c r="N308" s="39"/>
      <c r="O308" s="23" t="s">
        <v>1236</v>
      </c>
    </row>
    <row r="309" spans="1:15">
      <c r="A309" s="8" t="s">
        <v>16</v>
      </c>
      <c r="B309" s="8" t="s">
        <v>352</v>
      </c>
      <c r="C309" s="10" t="s">
        <v>18</v>
      </c>
      <c r="D309" s="8" t="s">
        <v>18</v>
      </c>
      <c r="E309" s="7" t="str">
        <f t="shared" si="24"/>
        <v>020100303</v>
      </c>
      <c r="F309" s="1" t="s">
        <v>1221</v>
      </c>
      <c r="G309" s="1" t="str">
        <f t="shared" si="28"/>
        <v>抽屉010硬质合金钻头</v>
      </c>
      <c r="H309" t="str">
        <f t="shared" si="25"/>
        <v>行号03</v>
      </c>
      <c r="I309" s="1" t="str">
        <f t="shared" si="26"/>
        <v>序号03</v>
      </c>
      <c r="J309" s="38"/>
      <c r="K309" s="42"/>
      <c r="L309" s="42"/>
      <c r="M309" s="41">
        <v>0</v>
      </c>
      <c r="N309" s="41">
        <v>0</v>
      </c>
    </row>
    <row r="310" spans="1:15">
      <c r="A310" s="8" t="s">
        <v>16</v>
      </c>
      <c r="B310" s="8" t="s">
        <v>352</v>
      </c>
      <c r="C310" s="10" t="s">
        <v>18</v>
      </c>
      <c r="D310" s="8" t="s">
        <v>20</v>
      </c>
      <c r="E310" s="7" t="str">
        <f t="shared" si="24"/>
        <v>020100304</v>
      </c>
      <c r="F310" s="1" t="s">
        <v>1221</v>
      </c>
      <c r="G310" s="1" t="str">
        <f t="shared" si="28"/>
        <v>抽屉010硬质合金钻头</v>
      </c>
      <c r="H310" t="str">
        <f t="shared" si="25"/>
        <v>行号03</v>
      </c>
      <c r="I310" s="1" t="str">
        <f t="shared" si="26"/>
        <v>序号04</v>
      </c>
      <c r="J310" s="38"/>
      <c r="K310" s="42"/>
      <c r="L310" s="42"/>
      <c r="M310" s="41">
        <v>0</v>
      </c>
      <c r="N310" s="41">
        <v>0</v>
      </c>
    </row>
    <row r="311" spans="1:15">
      <c r="A311" s="8" t="s">
        <v>16</v>
      </c>
      <c r="B311" s="8" t="s">
        <v>352</v>
      </c>
      <c r="C311" s="10" t="s">
        <v>18</v>
      </c>
      <c r="D311" s="8" t="s">
        <v>22</v>
      </c>
      <c r="E311" s="7" t="str">
        <f t="shared" si="24"/>
        <v>020100305</v>
      </c>
      <c r="F311" s="1" t="s">
        <v>1221</v>
      </c>
      <c r="G311" s="1" t="str">
        <f t="shared" si="28"/>
        <v>抽屉010硬质合金钻头</v>
      </c>
      <c r="H311" t="str">
        <f t="shared" si="25"/>
        <v>行号03</v>
      </c>
      <c r="I311" s="1" t="str">
        <f t="shared" si="26"/>
        <v>序号05</v>
      </c>
      <c r="J311" s="38"/>
      <c r="K311" s="42"/>
      <c r="L311" s="42"/>
      <c r="M311" s="41">
        <v>0</v>
      </c>
      <c r="N311" s="41">
        <v>0</v>
      </c>
    </row>
    <row r="312" spans="1:15">
      <c r="A312" s="8" t="s">
        <v>16</v>
      </c>
      <c r="B312" s="8" t="s">
        <v>352</v>
      </c>
      <c r="C312" s="10" t="s">
        <v>18</v>
      </c>
      <c r="D312" s="8" t="s">
        <v>24</v>
      </c>
      <c r="E312" s="7" t="str">
        <f t="shared" si="24"/>
        <v>020100306</v>
      </c>
      <c r="F312" s="1" t="s">
        <v>1221</v>
      </c>
      <c r="G312" s="1" t="str">
        <f t="shared" si="28"/>
        <v>抽屉010硬质合金钻头</v>
      </c>
      <c r="H312" t="str">
        <f t="shared" si="25"/>
        <v>行号03</v>
      </c>
      <c r="I312" s="1" t="str">
        <f t="shared" si="26"/>
        <v>序号06</v>
      </c>
      <c r="J312" s="38"/>
      <c r="K312" s="42"/>
      <c r="L312" s="42"/>
      <c r="M312" s="41">
        <v>0</v>
      </c>
      <c r="N312" s="41">
        <v>0</v>
      </c>
    </row>
    <row r="313" spans="1:15">
      <c r="A313" s="8" t="s">
        <v>16</v>
      </c>
      <c r="B313" s="8" t="s">
        <v>352</v>
      </c>
      <c r="C313" s="10" t="s">
        <v>18</v>
      </c>
      <c r="D313" s="8" t="s">
        <v>26</v>
      </c>
      <c r="E313" s="7" t="str">
        <f t="shared" si="24"/>
        <v>020100307</v>
      </c>
      <c r="F313" s="1" t="s">
        <v>1221</v>
      </c>
      <c r="G313" s="1" t="str">
        <f t="shared" si="28"/>
        <v>抽屉010硬质合金钻头</v>
      </c>
      <c r="H313" t="str">
        <f t="shared" si="25"/>
        <v>行号03</v>
      </c>
      <c r="I313" s="1" t="str">
        <f t="shared" si="26"/>
        <v>序号07</v>
      </c>
      <c r="J313" s="38"/>
      <c r="K313" s="42"/>
      <c r="L313" s="42"/>
      <c r="M313" s="41">
        <v>0</v>
      </c>
      <c r="N313" s="41">
        <v>0</v>
      </c>
    </row>
    <row r="314" spans="1:15">
      <c r="A314" s="8" t="s">
        <v>16</v>
      </c>
      <c r="B314" s="8" t="s">
        <v>352</v>
      </c>
      <c r="C314" s="10" t="s">
        <v>18</v>
      </c>
      <c r="D314" s="8" t="s">
        <v>28</v>
      </c>
      <c r="E314" s="7" t="str">
        <f t="shared" si="24"/>
        <v>020100308</v>
      </c>
      <c r="F314" s="1" t="s">
        <v>1221</v>
      </c>
      <c r="G314" s="1" t="str">
        <f t="shared" si="28"/>
        <v>抽屉010硬质合金钻头</v>
      </c>
      <c r="H314" t="str">
        <f t="shared" si="25"/>
        <v>行号03</v>
      </c>
      <c r="I314" s="1" t="str">
        <f t="shared" si="26"/>
        <v>序号08</v>
      </c>
      <c r="J314" s="24"/>
      <c r="K314" s="42"/>
      <c r="L314" s="42"/>
      <c r="M314" s="41">
        <v>0</v>
      </c>
      <c r="N314" s="41">
        <v>0</v>
      </c>
    </row>
    <row r="315" spans="1:15">
      <c r="A315" s="8" t="s">
        <v>16</v>
      </c>
      <c r="B315" s="8" t="s">
        <v>352</v>
      </c>
      <c r="C315" s="8" t="s">
        <v>20</v>
      </c>
      <c r="D315" s="11" t="s">
        <v>14</v>
      </c>
      <c r="E315" s="7" t="str">
        <f t="shared" si="24"/>
        <v>020100401</v>
      </c>
      <c r="F315" s="1" t="s">
        <v>1221</v>
      </c>
      <c r="G315" s="1" t="str">
        <f t="shared" si="28"/>
        <v>抽屉010硬质合金钻头</v>
      </c>
      <c r="H315" t="str">
        <f t="shared" si="25"/>
        <v>行号04</v>
      </c>
      <c r="I315" s="1" t="str">
        <f t="shared" si="26"/>
        <v>序号01</v>
      </c>
      <c r="J315" s="38"/>
      <c r="K315" s="42"/>
      <c r="L315" s="42"/>
      <c r="M315" s="41">
        <v>0</v>
      </c>
      <c r="N315" s="41">
        <v>0</v>
      </c>
    </row>
    <row r="316" spans="1:15">
      <c r="A316" s="8" t="s">
        <v>16</v>
      </c>
      <c r="B316" s="8" t="s">
        <v>352</v>
      </c>
      <c r="C316" s="8" t="s">
        <v>20</v>
      </c>
      <c r="D316" s="11" t="s">
        <v>16</v>
      </c>
      <c r="E316" s="7" t="str">
        <f t="shared" si="24"/>
        <v>020100402</v>
      </c>
      <c r="F316" s="1" t="s">
        <v>1221</v>
      </c>
      <c r="G316" s="1" t="str">
        <f t="shared" si="28"/>
        <v>抽屉010硬质合金钻头</v>
      </c>
      <c r="H316" t="str">
        <f t="shared" si="25"/>
        <v>行号04</v>
      </c>
      <c r="I316" s="1" t="str">
        <f t="shared" si="26"/>
        <v>序号02</v>
      </c>
      <c r="J316" s="38"/>
      <c r="K316" s="42"/>
      <c r="L316" s="42"/>
      <c r="M316" s="41">
        <v>0</v>
      </c>
      <c r="N316" s="41">
        <v>0</v>
      </c>
    </row>
    <row r="317" spans="1:15">
      <c r="A317" s="8" t="s">
        <v>16</v>
      </c>
      <c r="B317" s="8" t="s">
        <v>352</v>
      </c>
      <c r="C317" s="8" t="s">
        <v>20</v>
      </c>
      <c r="D317" s="11" t="s">
        <v>18</v>
      </c>
      <c r="E317" s="7" t="str">
        <f t="shared" si="24"/>
        <v>020100403</v>
      </c>
      <c r="F317" s="1" t="s">
        <v>1221</v>
      </c>
      <c r="G317" s="1" t="str">
        <f t="shared" si="28"/>
        <v>抽屉010硬质合金钻头</v>
      </c>
      <c r="H317" t="str">
        <f t="shared" si="25"/>
        <v>行号04</v>
      </c>
      <c r="I317" s="1" t="str">
        <f t="shared" si="26"/>
        <v>序号03</v>
      </c>
      <c r="J317" s="38"/>
      <c r="K317" s="42"/>
      <c r="L317" s="42"/>
      <c r="M317" s="41">
        <v>0</v>
      </c>
      <c r="N317" s="41">
        <v>0</v>
      </c>
    </row>
    <row r="318" spans="1:15">
      <c r="A318" s="8" t="s">
        <v>16</v>
      </c>
      <c r="B318" s="8" t="s">
        <v>352</v>
      </c>
      <c r="C318" s="8" t="s">
        <v>20</v>
      </c>
      <c r="D318" s="11" t="s">
        <v>20</v>
      </c>
      <c r="E318" s="7" t="str">
        <f t="shared" si="24"/>
        <v>020100404</v>
      </c>
      <c r="F318" s="1" t="s">
        <v>1221</v>
      </c>
      <c r="G318" s="1" t="str">
        <f t="shared" si="28"/>
        <v>抽屉010硬质合金钻头</v>
      </c>
      <c r="H318" t="str">
        <f t="shared" si="25"/>
        <v>行号04</v>
      </c>
      <c r="I318" s="1" t="str">
        <f t="shared" si="26"/>
        <v>序号04</v>
      </c>
      <c r="J318" s="38"/>
      <c r="K318" s="42"/>
      <c r="L318" s="42"/>
      <c r="M318" s="41">
        <v>0</v>
      </c>
      <c r="N318" s="41">
        <v>0</v>
      </c>
    </row>
    <row r="319" spans="1:15">
      <c r="A319" s="8" t="s">
        <v>16</v>
      </c>
      <c r="B319" s="8" t="s">
        <v>352</v>
      </c>
      <c r="C319" s="8" t="s">
        <v>20</v>
      </c>
      <c r="D319" s="11" t="s">
        <v>22</v>
      </c>
      <c r="E319" s="7" t="str">
        <f t="shared" si="24"/>
        <v>020100405</v>
      </c>
      <c r="F319" s="1" t="s">
        <v>1221</v>
      </c>
      <c r="G319" s="1" t="str">
        <f t="shared" si="28"/>
        <v>抽屉010硬质合金钻头</v>
      </c>
      <c r="H319" t="str">
        <f t="shared" si="25"/>
        <v>行号04</v>
      </c>
      <c r="I319" s="1" t="str">
        <f t="shared" si="26"/>
        <v>序号05</v>
      </c>
      <c r="J319" s="38"/>
      <c r="K319" s="42"/>
      <c r="L319" s="42"/>
      <c r="M319" s="41">
        <v>0</v>
      </c>
      <c r="N319" s="41">
        <v>0</v>
      </c>
    </row>
    <row r="320" spans="1:15">
      <c r="A320" s="8" t="s">
        <v>16</v>
      </c>
      <c r="B320" s="8" t="s">
        <v>352</v>
      </c>
      <c r="C320" s="8" t="s">
        <v>20</v>
      </c>
      <c r="D320" s="11" t="s">
        <v>24</v>
      </c>
      <c r="E320" s="7" t="str">
        <f t="shared" si="24"/>
        <v>020100406</v>
      </c>
      <c r="F320" s="1" t="s">
        <v>1221</v>
      </c>
      <c r="G320" s="1" t="str">
        <f t="shared" si="28"/>
        <v>抽屉010硬质合金钻头</v>
      </c>
      <c r="H320" t="str">
        <f t="shared" si="25"/>
        <v>行号04</v>
      </c>
      <c r="I320" s="1" t="str">
        <f t="shared" si="26"/>
        <v>序号06</v>
      </c>
      <c r="J320" s="38"/>
      <c r="K320" s="42"/>
      <c r="L320" s="42"/>
      <c r="M320" s="41">
        <v>0</v>
      </c>
      <c r="N320" s="41">
        <v>0</v>
      </c>
    </row>
    <row r="321" spans="1:14">
      <c r="A321" s="8" t="s">
        <v>16</v>
      </c>
      <c r="B321" s="8" t="s">
        <v>352</v>
      </c>
      <c r="C321" s="8" t="s">
        <v>20</v>
      </c>
      <c r="D321" s="11" t="s">
        <v>26</v>
      </c>
      <c r="E321" s="7" t="str">
        <f t="shared" si="24"/>
        <v>020100407</v>
      </c>
      <c r="F321" s="1" t="s">
        <v>1221</v>
      </c>
      <c r="G321" s="1" t="str">
        <f t="shared" si="28"/>
        <v>抽屉010硬质合金钻头</v>
      </c>
      <c r="H321" t="str">
        <f t="shared" si="25"/>
        <v>行号04</v>
      </c>
      <c r="I321" s="1" t="str">
        <f t="shared" si="26"/>
        <v>序号07</v>
      </c>
      <c r="J321" s="38"/>
      <c r="K321" s="42"/>
      <c r="L321" s="42"/>
      <c r="M321" s="41">
        <v>0</v>
      </c>
      <c r="N321" s="41">
        <v>0</v>
      </c>
    </row>
    <row r="322" spans="1:14">
      <c r="A322" s="8" t="s">
        <v>16</v>
      </c>
      <c r="B322" s="8" t="s">
        <v>352</v>
      </c>
      <c r="C322" s="8" t="s">
        <v>20</v>
      </c>
      <c r="D322" s="11" t="s">
        <v>28</v>
      </c>
      <c r="E322" s="7" t="str">
        <f t="shared" si="24"/>
        <v>020100408</v>
      </c>
      <c r="F322" s="1" t="s">
        <v>1221</v>
      </c>
      <c r="G322" s="1" t="str">
        <f t="shared" si="28"/>
        <v>抽屉010硬质合金钻头</v>
      </c>
      <c r="H322" t="str">
        <f t="shared" si="25"/>
        <v>行号04</v>
      </c>
      <c r="I322" s="1" t="str">
        <f t="shared" si="26"/>
        <v>序号08</v>
      </c>
      <c r="J322" s="38"/>
      <c r="K322" s="42"/>
      <c r="L322" s="42"/>
      <c r="M322" s="41">
        <v>0</v>
      </c>
      <c r="N322" s="41">
        <v>0</v>
      </c>
    </row>
  </sheetData>
  <autoFilter ref="A1:O322"/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433"/>
  <sheetViews>
    <sheetView zoomScale="110" zoomScaleNormal="110" workbookViewId="0">
      <pane ySplit="1" topLeftCell="A320" activePane="bottomLeft" state="frozen"/>
      <selection activeCell="G1" sqref="G1"/>
      <selection pane="bottomLeft" activeCell="N340" sqref="N340"/>
    </sheetView>
  </sheetViews>
  <sheetFormatPr defaultColWidth="9" defaultRowHeight="18"/>
  <cols>
    <col min="1" max="1" width="0.75" customWidth="1"/>
    <col min="2" max="2" width="9" customWidth="1"/>
    <col min="3" max="3" width="12" customWidth="1"/>
    <col min="4" max="4" width="13" customWidth="1"/>
    <col min="5" max="5" width="17.75" style="2" customWidth="1"/>
    <col min="6" max="6" width="14.5" customWidth="1"/>
    <col min="7" max="7" width="16.125" customWidth="1"/>
    <col min="8" max="8" width="16.625" customWidth="1"/>
    <col min="9" max="9" width="17.625" customWidth="1"/>
    <col min="10" max="10" width="34.75" customWidth="1"/>
    <col min="11" max="11" width="9.625" style="17" customWidth="1"/>
    <col min="12" max="12" width="8.375" style="17" customWidth="1"/>
    <col min="13" max="13" width="9" style="17" customWidth="1"/>
    <col min="14" max="14" width="10" style="17" customWidth="1"/>
    <col min="15" max="15" width="11.875" style="17" customWidth="1"/>
    <col min="16" max="16" width="9" style="52" customWidth="1"/>
    <col min="17" max="17" width="9" style="17"/>
    <col min="18" max="51" width="9" style="3"/>
  </cols>
  <sheetData>
    <row r="1" spans="1:51" s="1" customFormat="1" ht="28.5" customHeight="1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1228</v>
      </c>
      <c r="P1" s="33" t="s">
        <v>1229</v>
      </c>
      <c r="Q1" s="30" t="s">
        <v>1230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</row>
    <row r="2" spans="1:51" s="1" customFormat="1" ht="15.95" customHeight="1">
      <c r="A2" s="12" t="s">
        <v>1145</v>
      </c>
      <c r="B2" s="13" t="s">
        <v>14</v>
      </c>
      <c r="C2" s="14" t="s">
        <v>14</v>
      </c>
      <c r="D2" s="12" t="s">
        <v>14</v>
      </c>
      <c r="E2" s="15" t="str">
        <f t="shared" ref="E2:E68" si="0">A2&amp;B2&amp;C2&amp;D2</f>
        <v>03010101</v>
      </c>
      <c r="F2" s="16" t="s">
        <v>1222</v>
      </c>
      <c r="G2" s="16" t="str">
        <f>"抽屉"&amp;B2&amp;"外圆车刀片"</f>
        <v>抽屉01外圆车刀片</v>
      </c>
      <c r="H2" t="str">
        <f t="shared" ref="H2:H68" si="1">"行号"&amp;C2</f>
        <v>行号01</v>
      </c>
      <c r="I2" s="16" t="str">
        <f t="shared" ref="I2:I68" si="2">"序号"&amp;D2</f>
        <v>序号01</v>
      </c>
      <c r="J2" s="49" t="s">
        <v>1146</v>
      </c>
      <c r="K2" s="39">
        <v>50</v>
      </c>
      <c r="L2" s="39">
        <v>50</v>
      </c>
      <c r="M2" s="40"/>
      <c r="N2" s="40"/>
      <c r="O2" s="17" t="s">
        <v>1232</v>
      </c>
      <c r="P2" s="33">
        <v>969109</v>
      </c>
      <c r="Q2" s="33">
        <v>152.13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</row>
    <row r="3" spans="1:51" ht="15.95" customHeight="1">
      <c r="A3" s="12" t="s">
        <v>18</v>
      </c>
      <c r="B3" s="13" t="s">
        <v>14</v>
      </c>
      <c r="C3" s="14" t="s">
        <v>14</v>
      </c>
      <c r="D3" s="12" t="s">
        <v>16</v>
      </c>
      <c r="E3" s="15" t="str">
        <f t="shared" si="0"/>
        <v>03010102</v>
      </c>
      <c r="F3" s="16" t="s">
        <v>1222</v>
      </c>
      <c r="G3" s="16" t="str">
        <f t="shared" ref="G3:G31" si="3">"抽屉"&amp;B3&amp;"外圆车刀片"</f>
        <v>抽屉01外圆车刀片</v>
      </c>
      <c r="H3" t="str">
        <f t="shared" si="1"/>
        <v>行号01</v>
      </c>
      <c r="I3" s="16" t="str">
        <f t="shared" si="2"/>
        <v>序号02</v>
      </c>
      <c r="J3" s="49" t="s">
        <v>1147</v>
      </c>
      <c r="K3" s="39">
        <v>80</v>
      </c>
      <c r="L3" s="39">
        <v>100</v>
      </c>
      <c r="M3" s="39"/>
      <c r="N3" s="39"/>
      <c r="O3" s="17" t="s">
        <v>1232</v>
      </c>
      <c r="P3" s="33">
        <v>369012</v>
      </c>
      <c r="Q3" s="33">
        <v>100.07</v>
      </c>
    </row>
    <row r="4" spans="1:51" ht="15.95" customHeight="1">
      <c r="A4" s="12" t="s">
        <v>18</v>
      </c>
      <c r="B4" s="13" t="s">
        <v>14</v>
      </c>
      <c r="C4" s="14" t="s">
        <v>14</v>
      </c>
      <c r="D4" s="12" t="s">
        <v>18</v>
      </c>
      <c r="E4" s="15" t="str">
        <f t="shared" si="0"/>
        <v>03010103</v>
      </c>
      <c r="F4" s="16" t="s">
        <v>1222</v>
      </c>
      <c r="G4" s="16" t="str">
        <f t="shared" si="3"/>
        <v>抽屉01外圆车刀片</v>
      </c>
      <c r="H4" t="str">
        <f t="shared" si="1"/>
        <v>行号01</v>
      </c>
      <c r="I4" s="16" t="str">
        <f t="shared" si="2"/>
        <v>序号03</v>
      </c>
      <c r="J4" s="24"/>
      <c r="K4" s="41"/>
      <c r="L4" s="41"/>
      <c r="M4" s="19">
        <v>0</v>
      </c>
      <c r="N4" s="41">
        <v>0</v>
      </c>
      <c r="P4" s="33"/>
      <c r="Q4" s="33"/>
    </row>
    <row r="5" spans="1:51" ht="15.95" customHeight="1">
      <c r="A5" s="12" t="s">
        <v>18</v>
      </c>
      <c r="B5" s="13" t="s">
        <v>14</v>
      </c>
      <c r="C5" s="14" t="s">
        <v>14</v>
      </c>
      <c r="D5" s="12" t="s">
        <v>20</v>
      </c>
      <c r="E5" s="15" t="str">
        <f t="shared" si="0"/>
        <v>03010104</v>
      </c>
      <c r="F5" s="16" t="s">
        <v>1222</v>
      </c>
      <c r="G5" s="16" t="str">
        <f t="shared" si="3"/>
        <v>抽屉01外圆车刀片</v>
      </c>
      <c r="H5" t="str">
        <f t="shared" si="1"/>
        <v>行号01</v>
      </c>
      <c r="I5" s="16" t="str">
        <f t="shared" si="2"/>
        <v>序号04</v>
      </c>
      <c r="J5" s="24"/>
      <c r="K5" s="41"/>
      <c r="L5" s="41"/>
      <c r="M5" s="19">
        <v>0</v>
      </c>
      <c r="N5" s="41">
        <v>0</v>
      </c>
      <c r="P5" s="33"/>
      <c r="Q5" s="33"/>
    </row>
    <row r="6" spans="1:51" ht="15.95" customHeight="1">
      <c r="A6" s="12" t="s">
        <v>18</v>
      </c>
      <c r="B6" s="13" t="s">
        <v>14</v>
      </c>
      <c r="C6" s="14" t="s">
        <v>14</v>
      </c>
      <c r="D6" s="12" t="s">
        <v>22</v>
      </c>
      <c r="E6" s="15" t="str">
        <f t="shared" si="0"/>
        <v>03010105</v>
      </c>
      <c r="F6" s="16" t="s">
        <v>1222</v>
      </c>
      <c r="G6" s="16" t="str">
        <f t="shared" si="3"/>
        <v>抽屉01外圆车刀片</v>
      </c>
      <c r="H6" t="str">
        <f t="shared" si="1"/>
        <v>行号01</v>
      </c>
      <c r="I6" s="16" t="str">
        <f t="shared" si="2"/>
        <v>序号05</v>
      </c>
      <c r="J6" s="36" t="s">
        <v>1148</v>
      </c>
      <c r="K6" s="39">
        <v>50</v>
      </c>
      <c r="L6" s="39">
        <v>50</v>
      </c>
      <c r="M6" s="39"/>
      <c r="N6" s="39"/>
      <c r="O6" s="17" t="s">
        <v>1232</v>
      </c>
      <c r="P6" s="33">
        <v>981259</v>
      </c>
      <c r="Q6" s="33">
        <v>138.63999999999999</v>
      </c>
    </row>
    <row r="7" spans="1:51" ht="15.95" customHeight="1">
      <c r="A7" s="12" t="s">
        <v>18</v>
      </c>
      <c r="B7" s="13" t="s">
        <v>14</v>
      </c>
      <c r="C7" s="14" t="s">
        <v>14</v>
      </c>
      <c r="D7" s="12" t="s">
        <v>24</v>
      </c>
      <c r="E7" s="15" t="str">
        <f t="shared" si="0"/>
        <v>03010106</v>
      </c>
      <c r="F7" s="16" t="s">
        <v>1222</v>
      </c>
      <c r="G7" s="16" t="str">
        <f t="shared" si="3"/>
        <v>抽屉01外圆车刀片</v>
      </c>
      <c r="H7" t="str">
        <f t="shared" si="1"/>
        <v>行号01</v>
      </c>
      <c r="I7" s="16" t="str">
        <f t="shared" si="2"/>
        <v>序号06</v>
      </c>
      <c r="J7" s="36" t="s">
        <v>1149</v>
      </c>
      <c r="K7" s="39">
        <v>50</v>
      </c>
      <c r="L7" s="39">
        <v>50</v>
      </c>
      <c r="M7" s="39"/>
      <c r="N7" s="39"/>
      <c r="O7" s="17" t="s">
        <v>1232</v>
      </c>
      <c r="P7" s="33">
        <v>981260</v>
      </c>
      <c r="Q7" s="33">
        <v>138.63999999999999</v>
      </c>
    </row>
    <row r="8" spans="1:51" ht="15.95" customHeight="1">
      <c r="A8" s="12" t="s">
        <v>18</v>
      </c>
      <c r="B8" s="13" t="s">
        <v>14</v>
      </c>
      <c r="C8" s="14" t="s">
        <v>14</v>
      </c>
      <c r="D8" s="12" t="s">
        <v>26</v>
      </c>
      <c r="E8" s="15" t="str">
        <f t="shared" si="0"/>
        <v>03010107</v>
      </c>
      <c r="F8" s="16" t="s">
        <v>1222</v>
      </c>
      <c r="G8" s="16" t="str">
        <f t="shared" si="3"/>
        <v>抽屉01外圆车刀片</v>
      </c>
      <c r="H8" t="str">
        <f t="shared" si="1"/>
        <v>行号01</v>
      </c>
      <c r="I8" s="16" t="str">
        <f t="shared" si="2"/>
        <v>序号07</v>
      </c>
      <c r="J8" s="24"/>
      <c r="K8" s="41"/>
      <c r="L8" s="41"/>
      <c r="M8" s="19">
        <v>0</v>
      </c>
      <c r="N8" s="41">
        <v>0</v>
      </c>
      <c r="P8" s="33"/>
      <c r="Q8" s="33"/>
    </row>
    <row r="9" spans="1:51" ht="15.95" customHeight="1">
      <c r="A9" s="12" t="s">
        <v>18</v>
      </c>
      <c r="B9" s="13" t="s">
        <v>14</v>
      </c>
      <c r="C9" s="14" t="s">
        <v>14</v>
      </c>
      <c r="D9" s="12" t="s">
        <v>28</v>
      </c>
      <c r="E9" s="15" t="str">
        <f t="shared" si="0"/>
        <v>03010108</v>
      </c>
      <c r="F9" s="16" t="s">
        <v>1222</v>
      </c>
      <c r="G9" s="16" t="str">
        <f t="shared" si="3"/>
        <v>抽屉01外圆车刀片</v>
      </c>
      <c r="H9" t="str">
        <f t="shared" si="1"/>
        <v>行号01</v>
      </c>
      <c r="I9" s="16" t="str">
        <f t="shared" si="2"/>
        <v>序号08</v>
      </c>
      <c r="J9" s="24"/>
      <c r="K9" s="41"/>
      <c r="L9" s="41"/>
      <c r="M9" s="19">
        <v>0</v>
      </c>
      <c r="N9" s="41">
        <v>0</v>
      </c>
      <c r="P9" s="33"/>
      <c r="Q9" s="33"/>
    </row>
    <row r="10" spans="1:51" ht="15.95" customHeight="1">
      <c r="A10" s="12" t="s">
        <v>18</v>
      </c>
      <c r="B10" s="13" t="s">
        <v>14</v>
      </c>
      <c r="C10" s="12" t="s">
        <v>16</v>
      </c>
      <c r="D10" s="18" t="s">
        <v>18</v>
      </c>
      <c r="E10" s="15" t="str">
        <f t="shared" si="0"/>
        <v>03010203</v>
      </c>
      <c r="F10" s="16" t="s">
        <v>1222</v>
      </c>
      <c r="G10" s="16" t="str">
        <f t="shared" si="3"/>
        <v>抽屉01外圆车刀片</v>
      </c>
      <c r="H10" t="str">
        <f t="shared" si="1"/>
        <v>行号02</v>
      </c>
      <c r="I10" s="16" t="str">
        <f t="shared" si="2"/>
        <v>序号03</v>
      </c>
      <c r="J10" s="38"/>
      <c r="K10" s="41"/>
      <c r="L10" s="41"/>
      <c r="M10" s="19">
        <v>0</v>
      </c>
      <c r="N10" s="41">
        <v>0</v>
      </c>
      <c r="P10" s="33"/>
      <c r="Q10" s="33"/>
    </row>
    <row r="11" spans="1:51" ht="15.95" customHeight="1">
      <c r="A11" s="12" t="s">
        <v>18</v>
      </c>
      <c r="B11" s="13" t="s">
        <v>14</v>
      </c>
      <c r="C11" s="12" t="s">
        <v>16</v>
      </c>
      <c r="D11" s="18" t="s">
        <v>20</v>
      </c>
      <c r="E11" s="15" t="str">
        <f t="shared" si="0"/>
        <v>03010204</v>
      </c>
      <c r="F11" s="16" t="s">
        <v>1222</v>
      </c>
      <c r="G11" s="16" t="str">
        <f t="shared" si="3"/>
        <v>抽屉01外圆车刀片</v>
      </c>
      <c r="H11" t="str">
        <f t="shared" si="1"/>
        <v>行号02</v>
      </c>
      <c r="I11" s="16" t="str">
        <f t="shared" si="2"/>
        <v>序号04</v>
      </c>
      <c r="J11" s="38"/>
      <c r="K11" s="41"/>
      <c r="L11" s="41"/>
      <c r="M11" s="19">
        <v>0</v>
      </c>
      <c r="N11" s="41">
        <v>0</v>
      </c>
      <c r="P11" s="33"/>
      <c r="Q11" s="33"/>
    </row>
    <row r="12" spans="1:51" ht="15.95" customHeight="1">
      <c r="A12" s="12" t="s">
        <v>18</v>
      </c>
      <c r="B12" s="13" t="s">
        <v>14</v>
      </c>
      <c r="C12" s="12" t="s">
        <v>16</v>
      </c>
      <c r="D12" s="18" t="s">
        <v>22</v>
      </c>
      <c r="E12" s="15" t="str">
        <f t="shared" si="0"/>
        <v>03010205</v>
      </c>
      <c r="F12" s="16" t="s">
        <v>1222</v>
      </c>
      <c r="G12" s="16" t="str">
        <f t="shared" si="3"/>
        <v>抽屉01外圆车刀片</v>
      </c>
      <c r="H12" t="str">
        <f t="shared" si="1"/>
        <v>行号02</v>
      </c>
      <c r="I12" s="16" t="str">
        <f t="shared" si="2"/>
        <v>序号05</v>
      </c>
      <c r="J12" t="s">
        <v>1152</v>
      </c>
      <c r="K12" s="39">
        <v>30</v>
      </c>
      <c r="L12" s="39">
        <v>50</v>
      </c>
      <c r="M12" s="39"/>
      <c r="N12" s="39"/>
      <c r="O12" s="17" t="s">
        <v>1232</v>
      </c>
      <c r="P12" s="33">
        <v>981261</v>
      </c>
      <c r="Q12" s="33">
        <v>108.79</v>
      </c>
    </row>
    <row r="13" spans="1:51" ht="15.95" customHeight="1">
      <c r="A13" s="12" t="s">
        <v>18</v>
      </c>
      <c r="B13" s="13" t="s">
        <v>14</v>
      </c>
      <c r="C13" s="12" t="s">
        <v>16</v>
      </c>
      <c r="D13" s="18" t="s">
        <v>24</v>
      </c>
      <c r="E13" s="15" t="str">
        <f t="shared" si="0"/>
        <v>03010206</v>
      </c>
      <c r="F13" s="16" t="s">
        <v>1222</v>
      </c>
      <c r="G13" s="16" t="str">
        <f t="shared" si="3"/>
        <v>抽屉01外圆车刀片</v>
      </c>
      <c r="H13" t="str">
        <f t="shared" si="1"/>
        <v>行号02</v>
      </c>
      <c r="I13" s="16" t="str">
        <f t="shared" si="2"/>
        <v>序号06</v>
      </c>
      <c r="J13" s="24"/>
      <c r="K13" s="41"/>
      <c r="L13" s="41"/>
      <c r="M13" s="19">
        <v>0</v>
      </c>
      <c r="N13" s="41">
        <v>0</v>
      </c>
      <c r="P13" s="33"/>
      <c r="Q13" s="33"/>
    </row>
    <row r="14" spans="1:51" ht="15.95" customHeight="1">
      <c r="A14" s="12" t="s">
        <v>18</v>
      </c>
      <c r="B14" s="13" t="s">
        <v>14</v>
      </c>
      <c r="C14" s="12" t="s">
        <v>16</v>
      </c>
      <c r="D14" s="18" t="s">
        <v>26</v>
      </c>
      <c r="E14" s="15" t="str">
        <f t="shared" si="0"/>
        <v>03010207</v>
      </c>
      <c r="F14" s="16" t="s">
        <v>1222</v>
      </c>
      <c r="G14" s="16" t="str">
        <f t="shared" si="3"/>
        <v>抽屉01外圆车刀片</v>
      </c>
      <c r="H14" t="str">
        <f t="shared" si="1"/>
        <v>行号02</v>
      </c>
      <c r="I14" s="16" t="str">
        <f t="shared" si="2"/>
        <v>序号07</v>
      </c>
      <c r="J14" s="38"/>
      <c r="K14" s="41"/>
      <c r="L14" s="41"/>
      <c r="M14" s="19">
        <v>0</v>
      </c>
      <c r="N14" s="41">
        <v>0</v>
      </c>
      <c r="P14" s="33"/>
      <c r="Q14" s="33"/>
    </row>
    <row r="15" spans="1:51" ht="15.95" customHeight="1">
      <c r="A15" s="12" t="s">
        <v>18</v>
      </c>
      <c r="B15" s="13" t="s">
        <v>14</v>
      </c>
      <c r="C15" s="12" t="s">
        <v>16</v>
      </c>
      <c r="D15" s="18" t="s">
        <v>28</v>
      </c>
      <c r="E15" s="15" t="str">
        <f t="shared" si="0"/>
        <v>03010208</v>
      </c>
      <c r="F15" s="16" t="s">
        <v>1222</v>
      </c>
      <c r="G15" s="16" t="str">
        <f t="shared" si="3"/>
        <v>抽屉01外圆车刀片</v>
      </c>
      <c r="H15" t="str">
        <f t="shared" si="1"/>
        <v>行号02</v>
      </c>
      <c r="I15" s="16" t="str">
        <f t="shared" si="2"/>
        <v>序号08</v>
      </c>
      <c r="J15" s="24"/>
      <c r="K15" s="41"/>
      <c r="L15" s="41"/>
      <c r="M15" s="19">
        <v>0</v>
      </c>
      <c r="N15" s="41">
        <v>0</v>
      </c>
      <c r="P15" s="33"/>
      <c r="Q15" s="33"/>
    </row>
    <row r="16" spans="1:51" ht="15.95" customHeight="1">
      <c r="A16" s="12" t="s">
        <v>18</v>
      </c>
      <c r="B16" s="13" t="s">
        <v>14</v>
      </c>
      <c r="C16" s="14" t="s">
        <v>18</v>
      </c>
      <c r="D16" s="12" t="s">
        <v>14</v>
      </c>
      <c r="E16" s="15" t="str">
        <f t="shared" si="0"/>
        <v>03010301</v>
      </c>
      <c r="F16" s="16" t="s">
        <v>1222</v>
      </c>
      <c r="G16" s="16" t="str">
        <f t="shared" si="3"/>
        <v>抽屉01外圆车刀片</v>
      </c>
      <c r="H16" t="str">
        <f t="shared" si="1"/>
        <v>行号03</v>
      </c>
      <c r="I16" s="16" t="str">
        <f t="shared" si="2"/>
        <v>序号01</v>
      </c>
      <c r="J16" s="24"/>
      <c r="K16" s="41"/>
      <c r="L16" s="41"/>
      <c r="M16" s="19">
        <v>0</v>
      </c>
      <c r="N16" s="41">
        <v>0</v>
      </c>
      <c r="P16" s="33"/>
      <c r="Q16" s="33"/>
    </row>
    <row r="17" spans="1:17" ht="15.95" customHeight="1">
      <c r="A17" s="12" t="s">
        <v>18</v>
      </c>
      <c r="B17" s="13" t="s">
        <v>14</v>
      </c>
      <c r="C17" s="14" t="s">
        <v>18</v>
      </c>
      <c r="D17" s="12" t="s">
        <v>16</v>
      </c>
      <c r="E17" s="15" t="str">
        <f t="shared" si="0"/>
        <v>03010302</v>
      </c>
      <c r="F17" s="16" t="s">
        <v>1222</v>
      </c>
      <c r="G17" s="16" t="str">
        <f t="shared" si="3"/>
        <v>抽屉01外圆车刀片</v>
      </c>
      <c r="H17" t="str">
        <f t="shared" si="1"/>
        <v>行号03</v>
      </c>
      <c r="I17" s="16" t="str">
        <f t="shared" si="2"/>
        <v>序号02</v>
      </c>
      <c r="J17" t="s">
        <v>1153</v>
      </c>
      <c r="K17" s="39">
        <v>30</v>
      </c>
      <c r="L17" s="39">
        <v>30</v>
      </c>
      <c r="M17" s="39"/>
      <c r="N17" s="39"/>
      <c r="P17" s="33">
        <v>760701</v>
      </c>
      <c r="Q17" s="33">
        <v>124.8257</v>
      </c>
    </row>
    <row r="18" spans="1:17" ht="15.95" customHeight="1">
      <c r="A18" s="12" t="s">
        <v>18</v>
      </c>
      <c r="B18" s="13" t="s">
        <v>14</v>
      </c>
      <c r="C18" s="14" t="s">
        <v>18</v>
      </c>
      <c r="D18" s="12" t="s">
        <v>18</v>
      </c>
      <c r="E18" s="15" t="str">
        <f t="shared" si="0"/>
        <v>03010303</v>
      </c>
      <c r="F18" s="16" t="s">
        <v>1222</v>
      </c>
      <c r="G18" s="16" t="str">
        <f t="shared" si="3"/>
        <v>抽屉01外圆车刀片</v>
      </c>
      <c r="H18" t="str">
        <f t="shared" si="1"/>
        <v>行号03</v>
      </c>
      <c r="I18" s="16" t="str">
        <f t="shared" si="2"/>
        <v>序号03</v>
      </c>
      <c r="J18" s="24"/>
      <c r="K18" s="41"/>
      <c r="L18" s="41"/>
      <c r="M18" s="19">
        <v>0</v>
      </c>
      <c r="N18" s="41">
        <v>0</v>
      </c>
      <c r="O18" s="17" t="s">
        <v>1232</v>
      </c>
      <c r="P18" s="33"/>
      <c r="Q18" s="33"/>
    </row>
    <row r="19" spans="1:17" ht="15.95" customHeight="1">
      <c r="A19" s="12" t="s">
        <v>18</v>
      </c>
      <c r="B19" s="13" t="s">
        <v>14</v>
      </c>
      <c r="C19" s="14" t="s">
        <v>18</v>
      </c>
      <c r="D19" s="12" t="s">
        <v>20</v>
      </c>
      <c r="E19" s="15" t="str">
        <f t="shared" si="0"/>
        <v>03010304</v>
      </c>
      <c r="F19" s="16" t="s">
        <v>1222</v>
      </c>
      <c r="G19" s="16" t="str">
        <f t="shared" si="3"/>
        <v>抽屉01外圆车刀片</v>
      </c>
      <c r="H19" t="str">
        <f t="shared" si="1"/>
        <v>行号03</v>
      </c>
      <c r="I19" s="16" t="str">
        <f t="shared" si="2"/>
        <v>序号04</v>
      </c>
      <c r="J19" s="38"/>
      <c r="K19" s="41"/>
      <c r="L19" s="41"/>
      <c r="M19" s="19">
        <v>0</v>
      </c>
      <c r="N19" s="41">
        <v>0</v>
      </c>
      <c r="P19" s="33"/>
      <c r="Q19" s="33"/>
    </row>
    <row r="20" spans="1:17" ht="15.95" customHeight="1">
      <c r="A20" s="12" t="s">
        <v>18</v>
      </c>
      <c r="B20" s="13" t="s">
        <v>14</v>
      </c>
      <c r="C20" s="14" t="s">
        <v>18</v>
      </c>
      <c r="D20" s="12" t="s">
        <v>22</v>
      </c>
      <c r="E20" s="15" t="str">
        <f t="shared" si="0"/>
        <v>03010305</v>
      </c>
      <c r="F20" s="16" t="s">
        <v>1222</v>
      </c>
      <c r="G20" s="16" t="str">
        <f t="shared" si="3"/>
        <v>抽屉01外圆车刀片</v>
      </c>
      <c r="H20" t="str">
        <f t="shared" si="1"/>
        <v>行号03</v>
      </c>
      <c r="I20" s="16" t="str">
        <f t="shared" si="2"/>
        <v>序号05</v>
      </c>
      <c r="J20" s="29" t="s">
        <v>1154</v>
      </c>
      <c r="K20" s="39">
        <v>80</v>
      </c>
      <c r="L20" s="39">
        <v>80</v>
      </c>
      <c r="M20" s="39"/>
      <c r="N20" s="39"/>
      <c r="O20" s="17" t="s">
        <v>1232</v>
      </c>
      <c r="P20" s="33">
        <v>981291</v>
      </c>
      <c r="Q20" s="33">
        <v>103.95</v>
      </c>
    </row>
    <row r="21" spans="1:17" ht="15.95" customHeight="1">
      <c r="A21" s="12" t="s">
        <v>18</v>
      </c>
      <c r="B21" s="13" t="s">
        <v>14</v>
      </c>
      <c r="C21" s="14" t="s">
        <v>18</v>
      </c>
      <c r="D21" s="12" t="s">
        <v>24</v>
      </c>
      <c r="E21" s="15" t="str">
        <f t="shared" si="0"/>
        <v>03010306</v>
      </c>
      <c r="F21" s="16" t="s">
        <v>1222</v>
      </c>
      <c r="G21" s="16" t="str">
        <f t="shared" si="3"/>
        <v>抽屉01外圆车刀片</v>
      </c>
      <c r="H21" t="str">
        <f t="shared" si="1"/>
        <v>行号03</v>
      </c>
      <c r="I21" s="16" t="str">
        <f t="shared" si="2"/>
        <v>序号06</v>
      </c>
      <c r="J21" s="24"/>
      <c r="K21" s="41"/>
      <c r="L21" s="41"/>
      <c r="M21" s="19">
        <v>0</v>
      </c>
      <c r="N21" s="41">
        <v>0</v>
      </c>
      <c r="P21" s="33"/>
      <c r="Q21" s="33"/>
    </row>
    <row r="22" spans="1:17" ht="15.95" customHeight="1">
      <c r="A22" s="12" t="s">
        <v>18</v>
      </c>
      <c r="B22" s="13" t="s">
        <v>14</v>
      </c>
      <c r="C22" s="14" t="s">
        <v>18</v>
      </c>
      <c r="D22" s="12" t="s">
        <v>26</v>
      </c>
      <c r="E22" s="15" t="str">
        <f t="shared" si="0"/>
        <v>03010307</v>
      </c>
      <c r="F22" s="16" t="s">
        <v>1222</v>
      </c>
      <c r="G22" s="16" t="str">
        <f t="shared" si="3"/>
        <v>抽屉01外圆车刀片</v>
      </c>
      <c r="H22" t="str">
        <f t="shared" si="1"/>
        <v>行号03</v>
      </c>
      <c r="I22" s="16" t="str">
        <f t="shared" si="2"/>
        <v>序号07</v>
      </c>
      <c r="J22" s="38"/>
      <c r="K22" s="41"/>
      <c r="L22" s="41"/>
      <c r="M22" s="19">
        <v>0</v>
      </c>
      <c r="N22" s="41">
        <v>0</v>
      </c>
      <c r="P22" s="33"/>
      <c r="Q22" s="33"/>
    </row>
    <row r="23" spans="1:17" ht="15.95" customHeight="1">
      <c r="A23" s="12" t="s">
        <v>18</v>
      </c>
      <c r="B23" s="13" t="s">
        <v>14</v>
      </c>
      <c r="C23" s="14" t="s">
        <v>18</v>
      </c>
      <c r="D23" s="12" t="s">
        <v>28</v>
      </c>
      <c r="E23" s="15" t="str">
        <f t="shared" si="0"/>
        <v>03010308</v>
      </c>
      <c r="F23" s="16" t="s">
        <v>1222</v>
      </c>
      <c r="G23" s="16" t="str">
        <f t="shared" si="3"/>
        <v>抽屉01外圆车刀片</v>
      </c>
      <c r="H23" t="str">
        <f t="shared" si="1"/>
        <v>行号03</v>
      </c>
      <c r="I23" s="16" t="str">
        <f t="shared" si="2"/>
        <v>序号08</v>
      </c>
      <c r="J23" s="24"/>
      <c r="K23" s="41"/>
      <c r="L23" s="41"/>
      <c r="M23" s="19">
        <v>0</v>
      </c>
      <c r="N23" s="41">
        <v>0</v>
      </c>
      <c r="P23" s="33"/>
      <c r="Q23" s="33"/>
    </row>
    <row r="24" spans="1:17" ht="15.95" customHeight="1">
      <c r="A24" s="12" t="s">
        <v>18</v>
      </c>
      <c r="B24" s="13" t="s">
        <v>14</v>
      </c>
      <c r="C24" s="12" t="s">
        <v>20</v>
      </c>
      <c r="D24" s="18" t="s">
        <v>14</v>
      </c>
      <c r="E24" s="15" t="str">
        <f t="shared" si="0"/>
        <v>03010401</v>
      </c>
      <c r="F24" s="16" t="s">
        <v>1222</v>
      </c>
      <c r="G24" s="16" t="str">
        <f t="shared" si="3"/>
        <v>抽屉01外圆车刀片</v>
      </c>
      <c r="H24" t="str">
        <f t="shared" si="1"/>
        <v>行号04</v>
      </c>
      <c r="I24" s="16" t="str">
        <f t="shared" si="2"/>
        <v>序号01</v>
      </c>
      <c r="J24" t="s">
        <v>1155</v>
      </c>
      <c r="K24" s="39">
        <v>8</v>
      </c>
      <c r="L24" s="39">
        <v>20</v>
      </c>
      <c r="M24" s="39"/>
      <c r="N24" s="39"/>
      <c r="O24" s="17" t="s">
        <v>1232</v>
      </c>
      <c r="P24" s="33"/>
      <c r="Q24" s="33"/>
    </row>
    <row r="25" spans="1:17" ht="15.95" customHeight="1">
      <c r="A25" s="12" t="s">
        <v>18</v>
      </c>
      <c r="B25" s="13" t="s">
        <v>14</v>
      </c>
      <c r="C25" s="12" t="s">
        <v>20</v>
      </c>
      <c r="D25" s="18" t="s">
        <v>16</v>
      </c>
      <c r="E25" s="15" t="str">
        <f t="shared" si="0"/>
        <v>03010402</v>
      </c>
      <c r="F25" s="16" t="s">
        <v>1222</v>
      </c>
      <c r="G25" s="16" t="str">
        <f t="shared" si="3"/>
        <v>抽屉01外圆车刀片</v>
      </c>
      <c r="H25" t="str">
        <f t="shared" si="1"/>
        <v>行号04</v>
      </c>
      <c r="I25" s="16" t="str">
        <f t="shared" si="2"/>
        <v>序号02</v>
      </c>
      <c r="J25" t="s">
        <v>1314</v>
      </c>
      <c r="K25" s="51">
        <v>8</v>
      </c>
      <c r="L25" s="51">
        <v>20</v>
      </c>
      <c r="M25" s="20"/>
      <c r="N25" s="51"/>
      <c r="O25" s="17" t="s">
        <v>1232</v>
      </c>
      <c r="P25" s="33"/>
      <c r="Q25" s="33"/>
    </row>
    <row r="26" spans="1:17" ht="15.95" customHeight="1">
      <c r="A26" s="12" t="s">
        <v>18</v>
      </c>
      <c r="B26" s="13" t="s">
        <v>14</v>
      </c>
      <c r="C26" s="12" t="s">
        <v>20</v>
      </c>
      <c r="D26" s="18" t="s">
        <v>18</v>
      </c>
      <c r="E26" s="15" t="str">
        <f t="shared" si="0"/>
        <v>03010403</v>
      </c>
      <c r="F26" s="16" t="s">
        <v>1222</v>
      </c>
      <c r="G26" s="16" t="str">
        <f t="shared" si="3"/>
        <v>抽屉01外圆车刀片</v>
      </c>
      <c r="H26" t="str">
        <f t="shared" si="1"/>
        <v>行号04</v>
      </c>
      <c r="I26" s="16" t="str">
        <f t="shared" si="2"/>
        <v>序号03</v>
      </c>
      <c r="J26" t="s">
        <v>1315</v>
      </c>
      <c r="K26" s="51">
        <v>10</v>
      </c>
      <c r="L26" s="51">
        <v>20</v>
      </c>
      <c r="M26" s="20"/>
      <c r="N26" s="51"/>
      <c r="O26" s="17" t="s">
        <v>1232</v>
      </c>
      <c r="P26" s="33"/>
      <c r="Q26" s="33"/>
    </row>
    <row r="27" spans="1:17" ht="15.95" customHeight="1">
      <c r="A27" s="12" t="s">
        <v>18</v>
      </c>
      <c r="B27" s="13" t="s">
        <v>14</v>
      </c>
      <c r="C27" s="12" t="s">
        <v>20</v>
      </c>
      <c r="D27" s="18" t="s">
        <v>20</v>
      </c>
      <c r="E27" s="15" t="str">
        <f t="shared" si="0"/>
        <v>03010404</v>
      </c>
      <c r="F27" s="16" t="s">
        <v>1222</v>
      </c>
      <c r="G27" s="16" t="str">
        <f t="shared" si="3"/>
        <v>抽屉01外圆车刀片</v>
      </c>
      <c r="H27" t="str">
        <f t="shared" si="1"/>
        <v>行号04</v>
      </c>
      <c r="I27" s="16" t="str">
        <f t="shared" si="2"/>
        <v>序号04</v>
      </c>
      <c r="J27" s="24"/>
      <c r="K27" s="41"/>
      <c r="L27" s="41"/>
      <c r="M27" s="19">
        <v>0</v>
      </c>
      <c r="N27" s="41">
        <v>0</v>
      </c>
      <c r="P27" s="33"/>
      <c r="Q27" s="33"/>
    </row>
    <row r="28" spans="1:17" ht="15.95" customHeight="1">
      <c r="A28" s="12" t="s">
        <v>18</v>
      </c>
      <c r="B28" s="13" t="s">
        <v>14</v>
      </c>
      <c r="C28" s="12" t="s">
        <v>20</v>
      </c>
      <c r="D28" s="18" t="s">
        <v>22</v>
      </c>
      <c r="E28" s="15" t="str">
        <f t="shared" si="0"/>
        <v>03010405</v>
      </c>
      <c r="F28" s="16" t="s">
        <v>1222</v>
      </c>
      <c r="G28" s="16" t="str">
        <f t="shared" si="3"/>
        <v>抽屉01外圆车刀片</v>
      </c>
      <c r="H28" t="str">
        <f t="shared" si="1"/>
        <v>行号04</v>
      </c>
      <c r="I28" s="16" t="str">
        <f t="shared" si="2"/>
        <v>序号05</v>
      </c>
      <c r="J28" s="24"/>
      <c r="K28" s="41"/>
      <c r="L28" s="41"/>
      <c r="M28" s="19">
        <v>0</v>
      </c>
      <c r="N28" s="41">
        <v>0</v>
      </c>
      <c r="P28" s="33"/>
      <c r="Q28" s="33"/>
    </row>
    <row r="29" spans="1:17" ht="15.95" customHeight="1">
      <c r="A29" s="12" t="s">
        <v>18</v>
      </c>
      <c r="B29" s="13" t="s">
        <v>14</v>
      </c>
      <c r="C29" s="12" t="s">
        <v>20</v>
      </c>
      <c r="D29" s="18" t="s">
        <v>24</v>
      </c>
      <c r="E29" s="15" t="str">
        <f t="shared" si="0"/>
        <v>03010406</v>
      </c>
      <c r="F29" s="16" t="s">
        <v>1222</v>
      </c>
      <c r="G29" s="16" t="str">
        <f t="shared" si="3"/>
        <v>抽屉01外圆车刀片</v>
      </c>
      <c r="H29" t="str">
        <f t="shared" si="1"/>
        <v>行号04</v>
      </c>
      <c r="I29" s="16" t="str">
        <f t="shared" si="2"/>
        <v>序号06</v>
      </c>
      <c r="J29" s="24"/>
      <c r="K29" s="41"/>
      <c r="L29" s="41"/>
      <c r="M29" s="19">
        <v>0</v>
      </c>
      <c r="N29" s="41">
        <v>0</v>
      </c>
      <c r="P29" s="33"/>
      <c r="Q29" s="33"/>
    </row>
    <row r="30" spans="1:17" ht="15.95" customHeight="1">
      <c r="A30" s="12" t="s">
        <v>18</v>
      </c>
      <c r="B30" s="13" t="s">
        <v>14</v>
      </c>
      <c r="C30" s="12" t="s">
        <v>20</v>
      </c>
      <c r="D30" s="18" t="s">
        <v>26</v>
      </c>
      <c r="E30" s="15" t="str">
        <f t="shared" si="0"/>
        <v>03010407</v>
      </c>
      <c r="F30" s="16" t="s">
        <v>1222</v>
      </c>
      <c r="G30" s="16" t="str">
        <f t="shared" si="3"/>
        <v>抽屉01外圆车刀片</v>
      </c>
      <c r="H30" t="str">
        <f t="shared" si="1"/>
        <v>行号04</v>
      </c>
      <c r="I30" s="16" t="str">
        <f t="shared" si="2"/>
        <v>序号07</v>
      </c>
      <c r="J30" s="24"/>
      <c r="K30" s="41"/>
      <c r="L30" s="41"/>
      <c r="M30" s="19">
        <v>0</v>
      </c>
      <c r="N30" s="41">
        <v>0</v>
      </c>
      <c r="P30" s="33"/>
      <c r="Q30" s="33"/>
    </row>
    <row r="31" spans="1:17" ht="15.95" customHeight="1">
      <c r="A31" s="12" t="s">
        <v>18</v>
      </c>
      <c r="B31" s="13" t="s">
        <v>14</v>
      </c>
      <c r="C31" s="12" t="s">
        <v>20</v>
      </c>
      <c r="D31" s="18" t="s">
        <v>28</v>
      </c>
      <c r="E31" s="15" t="str">
        <f t="shared" si="0"/>
        <v>03010408</v>
      </c>
      <c r="F31" s="16" t="s">
        <v>1222</v>
      </c>
      <c r="G31" s="16" t="str">
        <f t="shared" si="3"/>
        <v>抽屉01外圆车刀片</v>
      </c>
      <c r="H31" t="str">
        <f t="shared" si="1"/>
        <v>行号04</v>
      </c>
      <c r="I31" s="16" t="str">
        <f t="shared" si="2"/>
        <v>序号08</v>
      </c>
      <c r="J31" s="24"/>
      <c r="K31" s="41"/>
      <c r="L31" s="41"/>
      <c r="M31" s="19">
        <v>0</v>
      </c>
      <c r="N31" s="41">
        <v>0</v>
      </c>
      <c r="P31" s="33"/>
      <c r="Q31" s="33"/>
    </row>
    <row r="32" spans="1:17" ht="15.95" customHeight="1">
      <c r="A32" s="12" t="s">
        <v>18</v>
      </c>
      <c r="B32" s="12" t="s">
        <v>16</v>
      </c>
      <c r="C32" s="14" t="s">
        <v>14</v>
      </c>
      <c r="D32" s="12" t="s">
        <v>14</v>
      </c>
      <c r="E32" s="15" t="str">
        <f t="shared" si="0"/>
        <v>03020101</v>
      </c>
      <c r="F32" s="16" t="s">
        <v>1222</v>
      </c>
      <c r="G32" s="16" t="str">
        <f>"抽屉"&amp;B32&amp;"外圆车刀片"</f>
        <v>抽屉02外圆车刀片</v>
      </c>
      <c r="H32" t="str">
        <f t="shared" si="1"/>
        <v>行号01</v>
      </c>
      <c r="I32" s="16" t="str">
        <f t="shared" si="2"/>
        <v>序号01</v>
      </c>
      <c r="J32" s="29" t="s">
        <v>1280</v>
      </c>
      <c r="K32" s="39">
        <v>60</v>
      </c>
      <c r="L32" s="39">
        <v>50</v>
      </c>
      <c r="M32" s="39"/>
      <c r="N32" s="39"/>
      <c r="O32" s="17" t="s">
        <v>1232</v>
      </c>
      <c r="P32" s="33">
        <v>362948</v>
      </c>
      <c r="Q32" s="33">
        <v>73</v>
      </c>
    </row>
    <row r="33" spans="1:17" ht="15.95" customHeight="1">
      <c r="A33" s="12" t="s">
        <v>18</v>
      </c>
      <c r="B33" s="12" t="s">
        <v>16</v>
      </c>
      <c r="C33" s="14" t="s">
        <v>14</v>
      </c>
      <c r="D33" s="12" t="s">
        <v>16</v>
      </c>
      <c r="E33" s="15" t="str">
        <f t="shared" si="0"/>
        <v>03020102</v>
      </c>
      <c r="F33" s="16" t="s">
        <v>1222</v>
      </c>
      <c r="G33" s="16" t="str">
        <f t="shared" ref="G33:G59" si="4">"抽屉"&amp;B33&amp;"外圆车刀片"</f>
        <v>抽屉02外圆车刀片</v>
      </c>
      <c r="H33" t="str">
        <f t="shared" si="1"/>
        <v>行号01</v>
      </c>
      <c r="I33" s="16" t="str">
        <f t="shared" si="2"/>
        <v>序号02</v>
      </c>
      <c r="J33" t="s">
        <v>1281</v>
      </c>
      <c r="K33" s="39">
        <v>80</v>
      </c>
      <c r="L33" s="39">
        <v>50</v>
      </c>
      <c r="M33" s="39"/>
      <c r="N33" s="39"/>
      <c r="O33" s="17" t="s">
        <v>1232</v>
      </c>
      <c r="P33" s="33">
        <v>367346</v>
      </c>
      <c r="Q33" s="33">
        <v>71.53</v>
      </c>
    </row>
    <row r="34" spans="1:17" ht="15.95" customHeight="1">
      <c r="A34" s="12" t="s">
        <v>18</v>
      </c>
      <c r="B34" s="12" t="s">
        <v>16</v>
      </c>
      <c r="C34" s="14" t="s">
        <v>14</v>
      </c>
      <c r="D34" s="12" t="s">
        <v>18</v>
      </c>
      <c r="E34" s="15" t="str">
        <f t="shared" si="0"/>
        <v>03020103</v>
      </c>
      <c r="F34" s="16" t="s">
        <v>1222</v>
      </c>
      <c r="G34" s="16" t="str">
        <f t="shared" si="4"/>
        <v>抽屉02外圆车刀片</v>
      </c>
      <c r="H34" t="str">
        <f t="shared" si="1"/>
        <v>行号01</v>
      </c>
      <c r="I34" s="16" t="str">
        <f t="shared" si="2"/>
        <v>序号03</v>
      </c>
      <c r="J34" s="36" t="s">
        <v>1224</v>
      </c>
      <c r="K34" s="39">
        <v>50</v>
      </c>
      <c r="L34" s="39">
        <v>50</v>
      </c>
      <c r="M34" s="39"/>
      <c r="N34" s="39"/>
      <c r="O34" s="17" t="s">
        <v>1232</v>
      </c>
      <c r="P34" s="33"/>
      <c r="Q34" s="33"/>
    </row>
    <row r="35" spans="1:17" ht="15.95" customHeight="1">
      <c r="A35" s="12" t="s">
        <v>18</v>
      </c>
      <c r="B35" s="12" t="s">
        <v>16</v>
      </c>
      <c r="C35" s="14" t="s">
        <v>14</v>
      </c>
      <c r="D35" s="12" t="s">
        <v>20</v>
      </c>
      <c r="E35" s="15" t="str">
        <f t="shared" si="0"/>
        <v>03020104</v>
      </c>
      <c r="F35" s="16" t="s">
        <v>1222</v>
      </c>
      <c r="G35" s="16" t="str">
        <f t="shared" si="4"/>
        <v>抽屉02外圆车刀片</v>
      </c>
      <c r="H35" t="str">
        <f t="shared" si="1"/>
        <v>行号01</v>
      </c>
      <c r="I35" s="16" t="str">
        <f t="shared" si="2"/>
        <v>序号04</v>
      </c>
      <c r="J35" s="38"/>
      <c r="K35" s="41"/>
      <c r="L35" s="41"/>
      <c r="M35" s="19">
        <v>0</v>
      </c>
      <c r="N35" s="41">
        <v>0</v>
      </c>
      <c r="P35" s="33"/>
      <c r="Q35" s="33"/>
    </row>
    <row r="36" spans="1:17" ht="15.95" customHeight="1">
      <c r="A36" s="12" t="s">
        <v>18</v>
      </c>
      <c r="B36" s="12" t="s">
        <v>16</v>
      </c>
      <c r="C36" s="14" t="s">
        <v>14</v>
      </c>
      <c r="D36" s="12" t="s">
        <v>22</v>
      </c>
      <c r="E36" s="15" t="str">
        <f t="shared" si="0"/>
        <v>03020105</v>
      </c>
      <c r="F36" s="16" t="s">
        <v>1222</v>
      </c>
      <c r="G36" s="16" t="str">
        <f t="shared" si="4"/>
        <v>抽屉02外圆车刀片</v>
      </c>
      <c r="H36" t="str">
        <f t="shared" si="1"/>
        <v>行号01</v>
      </c>
      <c r="I36" s="16" t="str">
        <f t="shared" si="2"/>
        <v>序号05</v>
      </c>
      <c r="J36" s="49" t="s">
        <v>1318</v>
      </c>
      <c r="K36" s="39">
        <v>80</v>
      </c>
      <c r="L36" s="39">
        <v>100</v>
      </c>
      <c r="M36" s="39"/>
      <c r="N36" s="39"/>
      <c r="O36" s="17" t="s">
        <v>1232</v>
      </c>
      <c r="P36" s="33"/>
      <c r="Q36" s="33"/>
    </row>
    <row r="37" spans="1:17" ht="15.95" customHeight="1">
      <c r="A37" s="12" t="s">
        <v>18</v>
      </c>
      <c r="B37" s="12" t="s">
        <v>16</v>
      </c>
      <c r="C37" s="14" t="s">
        <v>14</v>
      </c>
      <c r="D37" s="12" t="s">
        <v>24</v>
      </c>
      <c r="E37" s="15" t="str">
        <f t="shared" ref="E37" si="5">A37&amp;B37&amp;C37&amp;D37</f>
        <v>03020106</v>
      </c>
      <c r="F37" s="16" t="s">
        <v>1222</v>
      </c>
      <c r="G37" s="16" t="str">
        <f t="shared" ref="G37" si="6">"抽屉"&amp;B37&amp;"外圆车刀片"</f>
        <v>抽屉02外圆车刀片</v>
      </c>
      <c r="H37" t="str">
        <f t="shared" ref="H37" si="7">"行号"&amp;C37</f>
        <v>行号01</v>
      </c>
      <c r="I37" s="16" t="str">
        <f t="shared" ref="I37" si="8">"序号"&amp;D37</f>
        <v>序号06</v>
      </c>
      <c r="J37" s="49" t="s">
        <v>1317</v>
      </c>
      <c r="K37" s="41"/>
      <c r="L37" s="41"/>
      <c r="M37" s="19"/>
      <c r="N37" s="41"/>
      <c r="P37" s="33"/>
      <c r="Q37" s="33"/>
    </row>
    <row r="38" spans="1:17" ht="15.95" customHeight="1">
      <c r="A38" s="12" t="s">
        <v>18</v>
      </c>
      <c r="B38" s="12" t="s">
        <v>16</v>
      </c>
      <c r="C38" s="14" t="s">
        <v>14</v>
      </c>
      <c r="D38" s="12" t="s">
        <v>26</v>
      </c>
      <c r="E38" s="15" t="str">
        <f t="shared" si="0"/>
        <v>03020107</v>
      </c>
      <c r="F38" s="16" t="s">
        <v>1222</v>
      </c>
      <c r="G38" s="16" t="str">
        <f t="shared" si="4"/>
        <v>抽屉02外圆车刀片</v>
      </c>
      <c r="H38" t="str">
        <f t="shared" si="1"/>
        <v>行号01</v>
      </c>
      <c r="I38" s="16" t="str">
        <f t="shared" si="2"/>
        <v>序号07</v>
      </c>
      <c r="J38" s="24"/>
      <c r="K38" s="41"/>
      <c r="L38" s="41"/>
      <c r="M38" s="19">
        <v>0</v>
      </c>
      <c r="N38" s="41">
        <v>0</v>
      </c>
      <c r="P38" s="33"/>
      <c r="Q38" s="33"/>
    </row>
    <row r="39" spans="1:17" ht="15.95" customHeight="1">
      <c r="A39" s="12" t="s">
        <v>18</v>
      </c>
      <c r="B39" s="12" t="s">
        <v>16</v>
      </c>
      <c r="C39" s="14" t="s">
        <v>14</v>
      </c>
      <c r="D39" s="12" t="s">
        <v>28</v>
      </c>
      <c r="E39" s="15" t="str">
        <f t="shared" si="0"/>
        <v>03020108</v>
      </c>
      <c r="F39" s="16" t="s">
        <v>1222</v>
      </c>
      <c r="G39" s="16" t="str">
        <f t="shared" si="4"/>
        <v>抽屉02外圆车刀片</v>
      </c>
      <c r="H39" t="str">
        <f t="shared" si="1"/>
        <v>行号01</v>
      </c>
      <c r="I39" s="16" t="str">
        <f t="shared" si="2"/>
        <v>序号08</v>
      </c>
      <c r="J39" s="38"/>
      <c r="K39" s="41"/>
      <c r="L39" s="41"/>
      <c r="M39" s="19">
        <v>0</v>
      </c>
      <c r="N39" s="41">
        <v>0</v>
      </c>
      <c r="P39" s="33"/>
      <c r="Q39" s="33"/>
    </row>
    <row r="40" spans="1:17" ht="15.95" customHeight="1">
      <c r="A40" s="12" t="s">
        <v>18</v>
      </c>
      <c r="B40" s="12" t="s">
        <v>16</v>
      </c>
      <c r="C40" s="12" t="s">
        <v>16</v>
      </c>
      <c r="D40" s="18" t="s">
        <v>14</v>
      </c>
      <c r="E40" s="15" t="str">
        <f t="shared" si="0"/>
        <v>03020201</v>
      </c>
      <c r="F40" s="16" t="s">
        <v>1222</v>
      </c>
      <c r="G40" s="16" t="str">
        <f t="shared" si="4"/>
        <v>抽屉02外圆车刀片</v>
      </c>
      <c r="H40" t="str">
        <f t="shared" si="1"/>
        <v>行号02</v>
      </c>
      <c r="I40" s="16" t="str">
        <f t="shared" si="2"/>
        <v>序号01</v>
      </c>
      <c r="J40" s="49" t="s">
        <v>1157</v>
      </c>
      <c r="K40" s="39">
        <v>80</v>
      </c>
      <c r="L40" s="39">
        <v>80</v>
      </c>
      <c r="M40" s="39"/>
      <c r="N40" s="39"/>
      <c r="O40" s="17" t="s">
        <v>1232</v>
      </c>
      <c r="P40" s="33">
        <v>410667</v>
      </c>
      <c r="Q40" s="33">
        <v>70.39</v>
      </c>
    </row>
    <row r="41" spans="1:17" ht="15.95" customHeight="1">
      <c r="A41" s="12" t="s">
        <v>18</v>
      </c>
      <c r="B41" s="12" t="s">
        <v>16</v>
      </c>
      <c r="C41" s="12" t="s">
        <v>16</v>
      </c>
      <c r="D41" s="18" t="s">
        <v>18</v>
      </c>
      <c r="E41" s="15" t="str">
        <f t="shared" ref="E41" si="9">A41&amp;B41&amp;C41&amp;D41</f>
        <v>03020203</v>
      </c>
      <c r="F41" s="16" t="s">
        <v>1222</v>
      </c>
      <c r="G41" s="16" t="str">
        <f t="shared" ref="G41" si="10">"抽屉"&amp;B41&amp;"外圆车刀片"</f>
        <v>抽屉02外圆车刀片</v>
      </c>
      <c r="H41" t="str">
        <f t="shared" ref="H41" si="11">"行号"&amp;C41</f>
        <v>行号02</v>
      </c>
      <c r="I41" s="16" t="str">
        <f t="shared" ref="I41" si="12">"序号"&amp;D41</f>
        <v>序号03</v>
      </c>
      <c r="J41" s="24"/>
      <c r="K41" s="41"/>
      <c r="L41" s="41"/>
      <c r="M41" s="19">
        <v>0</v>
      </c>
      <c r="N41" s="41">
        <v>0</v>
      </c>
      <c r="P41" s="33"/>
      <c r="Q41" s="33"/>
    </row>
    <row r="42" spans="1:17" ht="15.95" customHeight="1">
      <c r="A42" s="12" t="s">
        <v>18</v>
      </c>
      <c r="B42" s="12" t="s">
        <v>16</v>
      </c>
      <c r="C42" s="12" t="s">
        <v>16</v>
      </c>
      <c r="D42" s="18" t="s">
        <v>20</v>
      </c>
      <c r="E42" s="15" t="str">
        <f t="shared" si="0"/>
        <v>03020204</v>
      </c>
      <c r="F42" s="16" t="s">
        <v>1222</v>
      </c>
      <c r="G42" s="16" t="str">
        <f t="shared" si="4"/>
        <v>抽屉02外圆车刀片</v>
      </c>
      <c r="H42" t="str">
        <f t="shared" si="1"/>
        <v>行号02</v>
      </c>
      <c r="I42" s="16" t="str">
        <f t="shared" si="2"/>
        <v>序号04</v>
      </c>
      <c r="J42" s="24"/>
      <c r="K42" s="41"/>
      <c r="L42" s="41"/>
      <c r="M42" s="19">
        <v>0</v>
      </c>
      <c r="N42" s="41">
        <v>0</v>
      </c>
      <c r="P42" s="33"/>
      <c r="Q42" s="33"/>
    </row>
    <row r="43" spans="1:17" ht="15.95" customHeight="1">
      <c r="A43" s="12" t="s">
        <v>18</v>
      </c>
      <c r="B43" s="12" t="s">
        <v>16</v>
      </c>
      <c r="C43" s="12" t="s">
        <v>16</v>
      </c>
      <c r="D43" s="18" t="s">
        <v>22</v>
      </c>
      <c r="E43" s="15" t="str">
        <f t="shared" si="0"/>
        <v>03020205</v>
      </c>
      <c r="F43" s="16" t="s">
        <v>1222</v>
      </c>
      <c r="G43" s="16" t="str">
        <f t="shared" si="4"/>
        <v>抽屉02外圆车刀片</v>
      </c>
      <c r="H43" t="str">
        <f t="shared" si="1"/>
        <v>行号02</v>
      </c>
      <c r="I43" s="16" t="str">
        <f t="shared" si="2"/>
        <v>序号05</v>
      </c>
      <c r="J43" s="24"/>
      <c r="K43" s="41"/>
      <c r="L43" s="41"/>
      <c r="M43" s="19">
        <v>0</v>
      </c>
      <c r="N43" s="41">
        <v>0</v>
      </c>
      <c r="P43" s="33"/>
      <c r="Q43" s="33"/>
    </row>
    <row r="44" spans="1:17" ht="15.95" customHeight="1">
      <c r="A44" s="12" t="s">
        <v>18</v>
      </c>
      <c r="B44" s="12" t="s">
        <v>16</v>
      </c>
      <c r="C44" s="12" t="s">
        <v>16</v>
      </c>
      <c r="D44" s="18" t="s">
        <v>24</v>
      </c>
      <c r="E44" s="15" t="str">
        <f t="shared" si="0"/>
        <v>03020206</v>
      </c>
      <c r="F44" s="16" t="s">
        <v>1222</v>
      </c>
      <c r="G44" s="16" t="str">
        <f t="shared" si="4"/>
        <v>抽屉02外圆车刀片</v>
      </c>
      <c r="H44" t="str">
        <f t="shared" si="1"/>
        <v>行号02</v>
      </c>
      <c r="I44" s="16" t="str">
        <f t="shared" si="2"/>
        <v>序号06</v>
      </c>
      <c r="J44" s="38"/>
      <c r="K44" s="41"/>
      <c r="L44" s="41"/>
      <c r="M44" s="19">
        <v>0</v>
      </c>
      <c r="N44" s="41">
        <v>0</v>
      </c>
      <c r="P44" s="33"/>
      <c r="Q44" s="33"/>
    </row>
    <row r="45" spans="1:17" ht="15.95" customHeight="1">
      <c r="A45" s="12" t="s">
        <v>18</v>
      </c>
      <c r="B45" s="12" t="s">
        <v>16</v>
      </c>
      <c r="C45" s="12" t="s">
        <v>16</v>
      </c>
      <c r="D45" s="18" t="s">
        <v>26</v>
      </c>
      <c r="E45" s="15" t="str">
        <f t="shared" ref="E45" si="13">A45&amp;B45&amp;C45&amp;D45</f>
        <v>03020207</v>
      </c>
      <c r="F45" s="16" t="s">
        <v>1222</v>
      </c>
      <c r="G45" s="16" t="str">
        <f t="shared" ref="G45" si="14">"抽屉"&amp;B45&amp;"外圆车刀片"</f>
        <v>抽屉02外圆车刀片</v>
      </c>
      <c r="H45" t="str">
        <f t="shared" ref="H45" si="15">"行号"&amp;C45</f>
        <v>行号02</v>
      </c>
      <c r="I45" s="16" t="str">
        <f t="shared" ref="I45" si="16">"序号"&amp;D45</f>
        <v>序号07</v>
      </c>
      <c r="J45" s="38"/>
      <c r="K45" s="41"/>
      <c r="L45" s="41"/>
      <c r="M45" s="19">
        <v>0</v>
      </c>
      <c r="N45" s="41">
        <v>0</v>
      </c>
      <c r="P45" s="33"/>
      <c r="Q45" s="33"/>
    </row>
    <row r="46" spans="1:17" ht="15.95" customHeight="1">
      <c r="A46" s="12" t="s">
        <v>18</v>
      </c>
      <c r="B46" s="12" t="s">
        <v>16</v>
      </c>
      <c r="C46" s="12" t="s">
        <v>16</v>
      </c>
      <c r="D46" s="18" t="s">
        <v>28</v>
      </c>
      <c r="E46" s="15" t="str">
        <f t="shared" si="0"/>
        <v>03020208</v>
      </c>
      <c r="F46" s="16" t="s">
        <v>1222</v>
      </c>
      <c r="G46" s="16" t="str">
        <f t="shared" si="4"/>
        <v>抽屉02外圆车刀片</v>
      </c>
      <c r="H46" t="str">
        <f t="shared" si="1"/>
        <v>行号02</v>
      </c>
      <c r="I46" s="16" t="str">
        <f t="shared" si="2"/>
        <v>序号08</v>
      </c>
      <c r="J46" s="38"/>
      <c r="K46" s="41"/>
      <c r="L46" s="41"/>
      <c r="M46" s="19">
        <v>0</v>
      </c>
      <c r="N46" s="41">
        <v>0</v>
      </c>
      <c r="P46" s="33"/>
      <c r="Q46" s="33"/>
    </row>
    <row r="47" spans="1:17" ht="15.95" customHeight="1">
      <c r="A47" s="12" t="s">
        <v>18</v>
      </c>
      <c r="B47" s="12" t="s">
        <v>16</v>
      </c>
      <c r="C47" s="14" t="s">
        <v>18</v>
      </c>
      <c r="D47" s="12" t="s">
        <v>16</v>
      </c>
      <c r="E47" s="15" t="str">
        <f t="shared" si="0"/>
        <v>03020302</v>
      </c>
      <c r="F47" s="16" t="s">
        <v>1222</v>
      </c>
      <c r="G47" s="16" t="str">
        <f t="shared" si="4"/>
        <v>抽屉02外圆车刀片</v>
      </c>
      <c r="H47" t="str">
        <f t="shared" si="1"/>
        <v>行号03</v>
      </c>
      <c r="I47" s="16" t="str">
        <f t="shared" si="2"/>
        <v>序号02</v>
      </c>
      <c r="J47" s="36" t="s">
        <v>1160</v>
      </c>
      <c r="K47" s="39">
        <v>0</v>
      </c>
      <c r="L47" s="39">
        <v>10</v>
      </c>
      <c r="M47" s="39"/>
      <c r="N47" s="39"/>
      <c r="O47" s="17" t="s">
        <v>1232</v>
      </c>
      <c r="P47" s="33">
        <v>969479</v>
      </c>
      <c r="Q47" s="33"/>
    </row>
    <row r="48" spans="1:17" ht="15.95" customHeight="1">
      <c r="A48" s="12" t="s">
        <v>18</v>
      </c>
      <c r="B48" s="12" t="s">
        <v>16</v>
      </c>
      <c r="C48" s="14" t="s">
        <v>18</v>
      </c>
      <c r="D48" s="12" t="s">
        <v>18</v>
      </c>
      <c r="E48" s="15" t="str">
        <f t="shared" si="0"/>
        <v>03020303</v>
      </c>
      <c r="F48" s="16" t="s">
        <v>1222</v>
      </c>
      <c r="G48" s="16" t="str">
        <f t="shared" si="4"/>
        <v>抽屉02外圆车刀片</v>
      </c>
      <c r="H48" t="str">
        <f t="shared" si="1"/>
        <v>行号03</v>
      </c>
      <c r="I48" s="16" t="str">
        <f t="shared" si="2"/>
        <v>序号03</v>
      </c>
      <c r="J48" t="s">
        <v>1161</v>
      </c>
      <c r="K48" s="39">
        <v>0</v>
      </c>
      <c r="L48" s="39">
        <v>10</v>
      </c>
      <c r="M48" s="39"/>
      <c r="N48" s="39"/>
      <c r="O48" s="17" t="s">
        <v>1232</v>
      </c>
      <c r="P48" s="33"/>
      <c r="Q48" s="33"/>
    </row>
    <row r="49" spans="1:17" ht="15.95" customHeight="1">
      <c r="A49" s="12" t="s">
        <v>18</v>
      </c>
      <c r="B49" s="12" t="s">
        <v>16</v>
      </c>
      <c r="C49" s="14" t="s">
        <v>18</v>
      </c>
      <c r="D49" s="12" t="s">
        <v>20</v>
      </c>
      <c r="E49" s="15" t="str">
        <f t="shared" si="0"/>
        <v>03020304</v>
      </c>
      <c r="F49" s="16" t="s">
        <v>1222</v>
      </c>
      <c r="G49" s="16" t="str">
        <f t="shared" si="4"/>
        <v>抽屉02外圆车刀片</v>
      </c>
      <c r="H49" t="str">
        <f t="shared" si="1"/>
        <v>行号03</v>
      </c>
      <c r="I49" s="16" t="str">
        <f t="shared" si="2"/>
        <v>序号04</v>
      </c>
      <c r="J49" t="s">
        <v>1216</v>
      </c>
      <c r="K49" s="39">
        <v>0</v>
      </c>
      <c r="L49" s="39">
        <v>10</v>
      </c>
      <c r="N49" s="39"/>
      <c r="O49" s="17" t="s">
        <v>1232</v>
      </c>
      <c r="P49" s="33"/>
      <c r="Q49" s="33"/>
    </row>
    <row r="50" spans="1:17" ht="15.95" customHeight="1">
      <c r="A50" s="12" t="s">
        <v>18</v>
      </c>
      <c r="B50" s="12" t="s">
        <v>16</v>
      </c>
      <c r="C50" s="14" t="s">
        <v>18</v>
      </c>
      <c r="D50" s="12" t="s">
        <v>22</v>
      </c>
      <c r="E50" s="15" t="str">
        <f t="shared" si="0"/>
        <v>03020305</v>
      </c>
      <c r="F50" s="16" t="s">
        <v>1222</v>
      </c>
      <c r="G50" s="16" t="str">
        <f t="shared" si="4"/>
        <v>抽屉02外圆车刀片</v>
      </c>
      <c r="H50" t="str">
        <f t="shared" si="1"/>
        <v>行号03</v>
      </c>
      <c r="I50" s="16" t="str">
        <f t="shared" si="2"/>
        <v>序号05</v>
      </c>
      <c r="J50" t="s">
        <v>1162</v>
      </c>
      <c r="K50" s="39">
        <v>0</v>
      </c>
      <c r="L50" s="39">
        <v>10</v>
      </c>
      <c r="M50" s="39"/>
      <c r="N50" s="39"/>
      <c r="O50" s="17" t="s">
        <v>1232</v>
      </c>
      <c r="P50" s="33"/>
      <c r="Q50" s="33"/>
    </row>
    <row r="51" spans="1:17" ht="15.95" customHeight="1">
      <c r="A51" s="12" t="s">
        <v>18</v>
      </c>
      <c r="B51" s="12" t="s">
        <v>16</v>
      </c>
      <c r="C51" s="14" t="s">
        <v>18</v>
      </c>
      <c r="D51" s="12" t="s">
        <v>28</v>
      </c>
      <c r="E51" s="15" t="str">
        <f t="shared" si="0"/>
        <v>03020308</v>
      </c>
      <c r="F51" s="16" t="s">
        <v>1222</v>
      </c>
      <c r="G51" s="16" t="str">
        <f t="shared" si="4"/>
        <v>抽屉02外圆车刀片</v>
      </c>
      <c r="H51" t="str">
        <f t="shared" si="1"/>
        <v>行号03</v>
      </c>
      <c r="I51" s="16" t="str">
        <f t="shared" si="2"/>
        <v>序号08</v>
      </c>
      <c r="J51" s="38"/>
      <c r="K51" s="41"/>
      <c r="L51" s="41"/>
      <c r="M51" s="19">
        <v>0</v>
      </c>
      <c r="N51" s="41">
        <v>0</v>
      </c>
      <c r="P51" s="33"/>
      <c r="Q51" s="33"/>
    </row>
    <row r="52" spans="1:17" ht="15.95" customHeight="1">
      <c r="A52" s="12" t="s">
        <v>18</v>
      </c>
      <c r="B52" s="12" t="s">
        <v>16</v>
      </c>
      <c r="C52" s="12" t="s">
        <v>20</v>
      </c>
      <c r="D52" s="18" t="s">
        <v>14</v>
      </c>
      <c r="E52" s="15" t="str">
        <f t="shared" si="0"/>
        <v>03020401</v>
      </c>
      <c r="F52" s="16" t="s">
        <v>1222</v>
      </c>
      <c r="G52" s="16" t="str">
        <f t="shared" si="4"/>
        <v>抽屉02外圆车刀片</v>
      </c>
      <c r="H52" t="str">
        <f t="shared" si="1"/>
        <v>行号04</v>
      </c>
      <c r="I52" s="16" t="str">
        <f t="shared" si="2"/>
        <v>序号01</v>
      </c>
      <c r="J52" s="29" t="s">
        <v>1164</v>
      </c>
      <c r="K52" s="39">
        <v>80</v>
      </c>
      <c r="L52" s="39">
        <v>50</v>
      </c>
      <c r="M52" s="39"/>
      <c r="N52" s="39"/>
      <c r="O52" s="17" t="s">
        <v>1232</v>
      </c>
      <c r="P52" s="33">
        <v>969113</v>
      </c>
      <c r="Q52" s="33">
        <v>68.569999999999993</v>
      </c>
    </row>
    <row r="53" spans="1:17" ht="15.95" customHeight="1">
      <c r="A53" s="12" t="s">
        <v>18</v>
      </c>
      <c r="B53" s="12" t="s">
        <v>16</v>
      </c>
      <c r="C53" s="12" t="s">
        <v>20</v>
      </c>
      <c r="D53" s="18" t="s">
        <v>16</v>
      </c>
      <c r="E53" s="15" t="str">
        <f t="shared" si="0"/>
        <v>03020402</v>
      </c>
      <c r="F53" s="16" t="s">
        <v>1222</v>
      </c>
      <c r="G53" s="16" t="str">
        <f t="shared" si="4"/>
        <v>抽屉02外圆车刀片</v>
      </c>
      <c r="H53" t="str">
        <f t="shared" si="1"/>
        <v>行号04</v>
      </c>
      <c r="I53" s="16" t="str">
        <f t="shared" si="2"/>
        <v>序号02</v>
      </c>
      <c r="J53" s="38"/>
      <c r="K53" s="41"/>
      <c r="L53" s="41"/>
      <c r="M53" s="19">
        <v>0</v>
      </c>
      <c r="N53" s="41">
        <v>0</v>
      </c>
      <c r="P53" s="33"/>
      <c r="Q53" s="33"/>
    </row>
    <row r="54" spans="1:17" ht="15.95" customHeight="1">
      <c r="A54" s="12" t="s">
        <v>18</v>
      </c>
      <c r="B54" s="12" t="s">
        <v>16</v>
      </c>
      <c r="C54" s="12" t="s">
        <v>20</v>
      </c>
      <c r="D54" s="18" t="s">
        <v>18</v>
      </c>
      <c r="E54" s="15" t="str">
        <f t="shared" si="0"/>
        <v>03020403</v>
      </c>
      <c r="F54" s="16" t="s">
        <v>1222</v>
      </c>
      <c r="G54" s="16" t="str">
        <f t="shared" si="4"/>
        <v>抽屉02外圆车刀片</v>
      </c>
      <c r="H54" t="str">
        <f t="shared" si="1"/>
        <v>行号04</v>
      </c>
      <c r="I54" s="16" t="str">
        <f t="shared" si="2"/>
        <v>序号03</v>
      </c>
      <c r="J54" s="38"/>
      <c r="K54" s="41"/>
      <c r="L54" s="41"/>
      <c r="M54" s="19">
        <v>0</v>
      </c>
      <c r="N54" s="41">
        <v>0</v>
      </c>
      <c r="P54" s="33"/>
      <c r="Q54" s="33"/>
    </row>
    <row r="55" spans="1:17" ht="15.95" customHeight="1">
      <c r="A55" s="12" t="s">
        <v>18</v>
      </c>
      <c r="B55" s="12" t="s">
        <v>16</v>
      </c>
      <c r="C55" s="12" t="s">
        <v>20</v>
      </c>
      <c r="D55" s="18" t="s">
        <v>20</v>
      </c>
      <c r="E55" s="15" t="str">
        <f t="shared" si="0"/>
        <v>03020404</v>
      </c>
      <c r="F55" s="16" t="s">
        <v>1222</v>
      </c>
      <c r="G55" s="16" t="str">
        <f t="shared" si="4"/>
        <v>抽屉02外圆车刀片</v>
      </c>
      <c r="H55" t="str">
        <f t="shared" si="1"/>
        <v>行号04</v>
      </c>
      <c r="I55" s="16" t="str">
        <f t="shared" si="2"/>
        <v>序号04</v>
      </c>
      <c r="J55" s="38"/>
      <c r="K55" s="41"/>
      <c r="L55" s="41"/>
      <c r="M55" s="19">
        <v>0</v>
      </c>
      <c r="N55" s="41">
        <v>0</v>
      </c>
      <c r="P55" s="33"/>
      <c r="Q55" s="33"/>
    </row>
    <row r="56" spans="1:17" ht="15.95" customHeight="1">
      <c r="A56" s="12" t="s">
        <v>18</v>
      </c>
      <c r="B56" s="12" t="s">
        <v>16</v>
      </c>
      <c r="C56" s="12" t="s">
        <v>20</v>
      </c>
      <c r="D56" s="18" t="s">
        <v>22</v>
      </c>
      <c r="E56" s="15" t="str">
        <f t="shared" si="0"/>
        <v>03020405</v>
      </c>
      <c r="F56" s="16" t="s">
        <v>1222</v>
      </c>
      <c r="G56" s="16" t="str">
        <f t="shared" si="4"/>
        <v>抽屉02外圆车刀片</v>
      </c>
      <c r="H56" t="str">
        <f t="shared" si="1"/>
        <v>行号04</v>
      </c>
      <c r="I56" s="16" t="str">
        <f t="shared" si="2"/>
        <v>序号05</v>
      </c>
      <c r="J56" s="24"/>
      <c r="K56" s="41"/>
      <c r="L56" s="41"/>
      <c r="M56" s="19">
        <v>0</v>
      </c>
      <c r="N56" s="41">
        <v>0</v>
      </c>
      <c r="P56" s="33"/>
      <c r="Q56" s="33"/>
    </row>
    <row r="57" spans="1:17" ht="15.95" customHeight="1">
      <c r="A57" s="12" t="s">
        <v>18</v>
      </c>
      <c r="B57" s="12" t="s">
        <v>16</v>
      </c>
      <c r="C57" s="12" t="s">
        <v>20</v>
      </c>
      <c r="D57" s="18" t="s">
        <v>24</v>
      </c>
      <c r="E57" s="15" t="str">
        <f t="shared" si="0"/>
        <v>03020406</v>
      </c>
      <c r="F57" s="16" t="s">
        <v>1222</v>
      </c>
      <c r="G57" s="16" t="str">
        <f t="shared" si="4"/>
        <v>抽屉02外圆车刀片</v>
      </c>
      <c r="H57" t="str">
        <f t="shared" si="1"/>
        <v>行号04</v>
      </c>
      <c r="I57" s="16" t="str">
        <f t="shared" si="2"/>
        <v>序号06</v>
      </c>
      <c r="J57" s="38"/>
      <c r="K57" s="41"/>
      <c r="L57" s="41"/>
      <c r="M57" s="19">
        <v>0</v>
      </c>
      <c r="N57" s="41">
        <v>0</v>
      </c>
      <c r="P57" s="33"/>
      <c r="Q57" s="33"/>
    </row>
    <row r="58" spans="1:17" ht="15.95" customHeight="1">
      <c r="A58" s="12" t="s">
        <v>18</v>
      </c>
      <c r="B58" s="12" t="s">
        <v>16</v>
      </c>
      <c r="C58" s="12" t="s">
        <v>20</v>
      </c>
      <c r="D58" s="18" t="s">
        <v>26</v>
      </c>
      <c r="E58" s="15" t="str">
        <f t="shared" si="0"/>
        <v>03020407</v>
      </c>
      <c r="F58" s="16" t="s">
        <v>1222</v>
      </c>
      <c r="G58" s="16" t="str">
        <f t="shared" si="4"/>
        <v>抽屉02外圆车刀片</v>
      </c>
      <c r="H58" t="str">
        <f t="shared" si="1"/>
        <v>行号04</v>
      </c>
      <c r="I58" s="16" t="str">
        <f t="shared" si="2"/>
        <v>序号07</v>
      </c>
      <c r="J58" s="38"/>
      <c r="K58" s="41"/>
      <c r="L58" s="41"/>
      <c r="M58" s="19">
        <v>0</v>
      </c>
      <c r="N58" s="41">
        <v>0</v>
      </c>
      <c r="P58" s="33"/>
      <c r="Q58" s="33"/>
    </row>
    <row r="59" spans="1:17" ht="15.95" customHeight="1">
      <c r="A59" s="12" t="s">
        <v>18</v>
      </c>
      <c r="B59" s="12" t="s">
        <v>16</v>
      </c>
      <c r="C59" s="12" t="s">
        <v>20</v>
      </c>
      <c r="D59" s="18" t="s">
        <v>28</v>
      </c>
      <c r="E59" s="15" t="str">
        <f t="shared" si="0"/>
        <v>03020408</v>
      </c>
      <c r="F59" s="16" t="s">
        <v>1222</v>
      </c>
      <c r="G59" s="16" t="str">
        <f t="shared" si="4"/>
        <v>抽屉02外圆车刀片</v>
      </c>
      <c r="H59" t="str">
        <f t="shared" si="1"/>
        <v>行号04</v>
      </c>
      <c r="I59" s="16" t="str">
        <f t="shared" si="2"/>
        <v>序号08</v>
      </c>
      <c r="J59" s="38"/>
      <c r="K59" s="41"/>
      <c r="L59" s="41"/>
      <c r="M59" s="19">
        <v>0</v>
      </c>
      <c r="N59" s="41">
        <v>0</v>
      </c>
      <c r="P59" s="33"/>
      <c r="Q59" s="33"/>
    </row>
    <row r="60" spans="1:17" ht="15.95" customHeight="1">
      <c r="A60" s="12" t="s">
        <v>18</v>
      </c>
      <c r="B60" s="13" t="s">
        <v>18</v>
      </c>
      <c r="C60" s="14" t="s">
        <v>14</v>
      </c>
      <c r="D60" s="12" t="s">
        <v>14</v>
      </c>
      <c r="E60" s="15" t="str">
        <f t="shared" si="0"/>
        <v>03030101</v>
      </c>
      <c r="F60" s="16" t="s">
        <v>1222</v>
      </c>
      <c r="G60" s="16" t="str">
        <f>"抽屉"&amp;B60&amp;"槽刀片"</f>
        <v>抽屉03槽刀片</v>
      </c>
      <c r="H60" t="str">
        <f t="shared" si="1"/>
        <v>行号01</v>
      </c>
      <c r="I60" s="16" t="str">
        <f t="shared" si="2"/>
        <v>序号01</v>
      </c>
      <c r="J60" s="29" t="s">
        <v>1165</v>
      </c>
      <c r="K60" s="39">
        <v>100</v>
      </c>
      <c r="L60" s="39">
        <v>50</v>
      </c>
      <c r="M60" s="39"/>
      <c r="N60" s="39"/>
      <c r="O60" s="17" t="s">
        <v>1232</v>
      </c>
      <c r="P60" s="33">
        <v>870057</v>
      </c>
      <c r="Q60" s="33"/>
    </row>
    <row r="61" spans="1:17" ht="15.95" customHeight="1">
      <c r="A61" s="12" t="s">
        <v>18</v>
      </c>
      <c r="B61" s="13" t="s">
        <v>18</v>
      </c>
      <c r="C61" s="14" t="s">
        <v>14</v>
      </c>
      <c r="D61" s="12" t="s">
        <v>16</v>
      </c>
      <c r="E61" s="15" t="str">
        <f t="shared" si="0"/>
        <v>03030102</v>
      </c>
      <c r="F61" s="16" t="s">
        <v>1222</v>
      </c>
      <c r="G61" s="16" t="str">
        <f t="shared" ref="G61:G89" si="17">"抽屉"&amp;B61&amp;"槽刀片"</f>
        <v>抽屉03槽刀片</v>
      </c>
      <c r="H61" t="str">
        <f t="shared" si="1"/>
        <v>行号01</v>
      </c>
      <c r="I61" s="16" t="str">
        <f t="shared" si="2"/>
        <v>序号02</v>
      </c>
      <c r="J61" s="38"/>
      <c r="K61" s="41"/>
      <c r="L61" s="41"/>
      <c r="M61" s="19">
        <v>0</v>
      </c>
      <c r="N61" s="41">
        <v>0</v>
      </c>
      <c r="P61" s="33"/>
      <c r="Q61" s="33"/>
    </row>
    <row r="62" spans="1:17" ht="15.95" customHeight="1">
      <c r="A62" s="12" t="s">
        <v>18</v>
      </c>
      <c r="B62" s="13" t="s">
        <v>18</v>
      </c>
      <c r="C62" s="14" t="s">
        <v>14</v>
      </c>
      <c r="D62" s="12" t="s">
        <v>18</v>
      </c>
      <c r="E62" s="15" t="str">
        <f t="shared" si="0"/>
        <v>03030103</v>
      </c>
      <c r="F62" s="16" t="s">
        <v>1222</v>
      </c>
      <c r="G62" s="16" t="str">
        <f t="shared" si="17"/>
        <v>抽屉03槽刀片</v>
      </c>
      <c r="H62" t="str">
        <f t="shared" si="1"/>
        <v>行号01</v>
      </c>
      <c r="I62" s="16" t="str">
        <f t="shared" si="2"/>
        <v>序号03</v>
      </c>
      <c r="J62" s="29" t="s">
        <v>1166</v>
      </c>
      <c r="K62" s="39">
        <v>30</v>
      </c>
      <c r="L62" s="39">
        <v>50</v>
      </c>
      <c r="M62" s="39"/>
      <c r="N62" s="39"/>
      <c r="O62" s="17" t="s">
        <v>1232</v>
      </c>
      <c r="P62" s="33">
        <v>968951</v>
      </c>
      <c r="Q62" s="33">
        <v>169.79</v>
      </c>
    </row>
    <row r="63" spans="1:17" ht="15.95" customHeight="1">
      <c r="A63" s="12" t="s">
        <v>18</v>
      </c>
      <c r="B63" s="13" t="s">
        <v>18</v>
      </c>
      <c r="C63" s="14" t="s">
        <v>14</v>
      </c>
      <c r="D63" s="12" t="s">
        <v>20</v>
      </c>
      <c r="E63" s="15" t="str">
        <f t="shared" si="0"/>
        <v>03030104</v>
      </c>
      <c r="F63" s="16" t="s">
        <v>1222</v>
      </c>
      <c r="G63" s="16" t="str">
        <f t="shared" si="17"/>
        <v>抽屉03槽刀片</v>
      </c>
      <c r="H63" t="str">
        <f t="shared" si="1"/>
        <v>行号01</v>
      </c>
      <c r="I63" s="16" t="str">
        <f t="shared" si="2"/>
        <v>序号04</v>
      </c>
      <c r="J63" t="s">
        <v>1316</v>
      </c>
      <c r="K63" s="39">
        <v>15</v>
      </c>
      <c r="L63" s="39">
        <v>15</v>
      </c>
      <c r="M63" s="39"/>
      <c r="N63" s="39"/>
      <c r="O63" s="23" t="s">
        <v>1237</v>
      </c>
      <c r="P63" s="33"/>
      <c r="Q63" s="33"/>
    </row>
    <row r="64" spans="1:17" ht="15.95" customHeight="1">
      <c r="A64" s="12" t="s">
        <v>18</v>
      </c>
      <c r="B64" s="13" t="s">
        <v>18</v>
      </c>
      <c r="C64" s="14" t="s">
        <v>14</v>
      </c>
      <c r="D64" s="12" t="s">
        <v>22</v>
      </c>
      <c r="E64" s="15" t="str">
        <f t="shared" si="0"/>
        <v>03030105</v>
      </c>
      <c r="F64" s="16" t="s">
        <v>1222</v>
      </c>
      <c r="G64" s="16" t="str">
        <f t="shared" si="17"/>
        <v>抽屉03槽刀片</v>
      </c>
      <c r="H64" t="str">
        <f t="shared" si="1"/>
        <v>行号01</v>
      </c>
      <c r="I64" s="16" t="str">
        <f t="shared" si="2"/>
        <v>序号05</v>
      </c>
      <c r="J64" s="24"/>
      <c r="K64" s="41"/>
      <c r="L64" s="41"/>
      <c r="M64" s="19">
        <v>0</v>
      </c>
      <c r="N64" s="41">
        <v>0</v>
      </c>
      <c r="P64" s="33"/>
      <c r="Q64" s="33"/>
    </row>
    <row r="65" spans="1:17" ht="15.95" customHeight="1">
      <c r="A65" s="12" t="s">
        <v>18</v>
      </c>
      <c r="B65" s="13" t="s">
        <v>18</v>
      </c>
      <c r="C65" s="14" t="s">
        <v>14</v>
      </c>
      <c r="D65" s="12" t="s">
        <v>24</v>
      </c>
      <c r="E65" s="15" t="str">
        <f t="shared" si="0"/>
        <v>03030106</v>
      </c>
      <c r="F65" s="16" t="s">
        <v>1222</v>
      </c>
      <c r="G65" s="16" t="str">
        <f t="shared" si="17"/>
        <v>抽屉03槽刀片</v>
      </c>
      <c r="H65" t="str">
        <f t="shared" si="1"/>
        <v>行号01</v>
      </c>
      <c r="I65" s="16" t="str">
        <f t="shared" si="2"/>
        <v>序号06</v>
      </c>
      <c r="J65" s="24"/>
      <c r="K65" s="41"/>
      <c r="L65" s="41"/>
      <c r="M65" s="19">
        <v>0</v>
      </c>
      <c r="N65" s="41">
        <v>0</v>
      </c>
      <c r="P65" s="33"/>
      <c r="Q65" s="33"/>
    </row>
    <row r="66" spans="1:17" ht="15.95" customHeight="1">
      <c r="A66" s="12" t="s">
        <v>18</v>
      </c>
      <c r="B66" s="13" t="s">
        <v>18</v>
      </c>
      <c r="C66" s="14" t="s">
        <v>14</v>
      </c>
      <c r="D66" s="12" t="s">
        <v>26</v>
      </c>
      <c r="E66" s="15" t="str">
        <f t="shared" si="0"/>
        <v>03030107</v>
      </c>
      <c r="F66" s="16" t="s">
        <v>1222</v>
      </c>
      <c r="G66" s="16" t="str">
        <f t="shared" si="17"/>
        <v>抽屉03槽刀片</v>
      </c>
      <c r="H66" t="str">
        <f t="shared" si="1"/>
        <v>行号01</v>
      </c>
      <c r="I66" s="16" t="str">
        <f t="shared" si="2"/>
        <v>序号07</v>
      </c>
      <c r="J66" s="24"/>
      <c r="K66" s="41"/>
      <c r="L66" s="41"/>
      <c r="M66" s="19">
        <v>0</v>
      </c>
      <c r="N66" s="41">
        <v>0</v>
      </c>
      <c r="P66" s="33"/>
      <c r="Q66" s="33"/>
    </row>
    <row r="67" spans="1:17" ht="15.95" customHeight="1">
      <c r="A67" s="12" t="s">
        <v>18</v>
      </c>
      <c r="B67" s="13" t="s">
        <v>18</v>
      </c>
      <c r="C67" s="14" t="s">
        <v>14</v>
      </c>
      <c r="D67" s="12" t="s">
        <v>28</v>
      </c>
      <c r="E67" s="15" t="str">
        <f t="shared" si="0"/>
        <v>03030108</v>
      </c>
      <c r="F67" s="16" t="s">
        <v>1222</v>
      </c>
      <c r="G67" s="16" t="str">
        <f t="shared" si="17"/>
        <v>抽屉03槽刀片</v>
      </c>
      <c r="H67" t="str">
        <f t="shared" si="1"/>
        <v>行号01</v>
      </c>
      <c r="I67" s="16" t="str">
        <f t="shared" si="2"/>
        <v>序号08</v>
      </c>
      <c r="J67" s="24"/>
      <c r="K67" s="41"/>
      <c r="L67" s="41"/>
      <c r="M67" s="19">
        <v>0</v>
      </c>
      <c r="N67" s="41">
        <v>0</v>
      </c>
      <c r="P67" s="33"/>
      <c r="Q67" s="33"/>
    </row>
    <row r="68" spans="1:17" ht="15.95" customHeight="1">
      <c r="A68" s="12" t="s">
        <v>18</v>
      </c>
      <c r="B68" s="13" t="s">
        <v>18</v>
      </c>
      <c r="C68" s="12" t="s">
        <v>16</v>
      </c>
      <c r="D68" s="18" t="s">
        <v>14</v>
      </c>
      <c r="E68" s="15" t="str">
        <f t="shared" si="0"/>
        <v>03030201</v>
      </c>
      <c r="F68" s="16" t="s">
        <v>1222</v>
      </c>
      <c r="G68" s="16" t="str">
        <f t="shared" si="17"/>
        <v>抽屉03槽刀片</v>
      </c>
      <c r="H68" t="str">
        <f t="shared" si="1"/>
        <v>行号02</v>
      </c>
      <c r="I68" s="16" t="str">
        <f t="shared" si="2"/>
        <v>序号01</v>
      </c>
      <c r="J68" s="36" t="s">
        <v>1279</v>
      </c>
      <c r="K68" s="39"/>
      <c r="L68" s="39"/>
      <c r="M68" s="39"/>
      <c r="N68" s="39"/>
      <c r="O68" s="17" t="s">
        <v>1232</v>
      </c>
      <c r="P68" s="33"/>
      <c r="Q68" s="33"/>
    </row>
    <row r="69" spans="1:17" ht="15.95" customHeight="1">
      <c r="A69" s="12" t="s">
        <v>18</v>
      </c>
      <c r="B69" s="13" t="s">
        <v>18</v>
      </c>
      <c r="C69" s="12" t="s">
        <v>16</v>
      </c>
      <c r="D69" s="18" t="s">
        <v>16</v>
      </c>
      <c r="E69" s="15" t="str">
        <f t="shared" ref="E69:E132" si="18">A69&amp;B69&amp;C69&amp;D69</f>
        <v>03030202</v>
      </c>
      <c r="F69" s="16" t="s">
        <v>1222</v>
      </c>
      <c r="G69" s="16" t="str">
        <f t="shared" si="17"/>
        <v>抽屉03槽刀片</v>
      </c>
      <c r="H69" t="str">
        <f t="shared" ref="H69:H132" si="19">"行号"&amp;C69</f>
        <v>行号02</v>
      </c>
      <c r="I69" s="16" t="str">
        <f t="shared" ref="I69:I132" si="20">"序号"&amp;D69</f>
        <v>序号02</v>
      </c>
      <c r="J69" s="49" t="s">
        <v>1167</v>
      </c>
      <c r="K69" s="39">
        <v>30</v>
      </c>
      <c r="L69" s="39">
        <v>20</v>
      </c>
      <c r="M69" s="39"/>
      <c r="N69" s="39"/>
      <c r="O69" s="17" t="s">
        <v>1232</v>
      </c>
      <c r="P69" s="33">
        <v>683655</v>
      </c>
      <c r="Q69" s="33"/>
    </row>
    <row r="70" spans="1:17" ht="15.95" customHeight="1">
      <c r="A70" s="12" t="s">
        <v>18</v>
      </c>
      <c r="B70" s="13" t="s">
        <v>18</v>
      </c>
      <c r="C70" s="12" t="s">
        <v>16</v>
      </c>
      <c r="D70" s="18" t="s">
        <v>18</v>
      </c>
      <c r="E70" s="15" t="str">
        <f t="shared" si="18"/>
        <v>03030203</v>
      </c>
      <c r="F70" s="16" t="s">
        <v>1222</v>
      </c>
      <c r="G70" s="16" t="str">
        <f t="shared" si="17"/>
        <v>抽屉03槽刀片</v>
      </c>
      <c r="H70" t="str">
        <f t="shared" si="19"/>
        <v>行号02</v>
      </c>
      <c r="I70" s="16" t="str">
        <f t="shared" si="20"/>
        <v>序号03</v>
      </c>
      <c r="J70" s="29" t="s">
        <v>1168</v>
      </c>
      <c r="K70" s="39">
        <v>50</v>
      </c>
      <c r="L70" s="39">
        <v>50</v>
      </c>
      <c r="M70" s="39"/>
      <c r="N70" s="39"/>
      <c r="O70" s="17" t="s">
        <v>1232</v>
      </c>
      <c r="P70" s="33">
        <v>919294</v>
      </c>
      <c r="Q70" s="33">
        <v>156.62</v>
      </c>
    </row>
    <row r="71" spans="1:17" ht="15.95" customHeight="1">
      <c r="A71" s="12" t="s">
        <v>18</v>
      </c>
      <c r="B71" s="13" t="s">
        <v>18</v>
      </c>
      <c r="C71" s="12" t="s">
        <v>16</v>
      </c>
      <c r="D71" s="18" t="s">
        <v>20</v>
      </c>
      <c r="E71" s="15" t="str">
        <f t="shared" si="18"/>
        <v>03030204</v>
      </c>
      <c r="F71" s="16" t="s">
        <v>1222</v>
      </c>
      <c r="G71" s="16" t="str">
        <f t="shared" si="17"/>
        <v>抽屉03槽刀片</v>
      </c>
      <c r="H71" t="str">
        <f t="shared" si="19"/>
        <v>行号02</v>
      </c>
      <c r="I71" s="16" t="str">
        <f t="shared" si="20"/>
        <v>序号04</v>
      </c>
      <c r="J71" s="38"/>
      <c r="K71" s="41"/>
      <c r="L71" s="41"/>
      <c r="M71" s="19">
        <v>0</v>
      </c>
      <c r="N71" s="41">
        <v>0</v>
      </c>
      <c r="P71" s="33"/>
      <c r="Q71" s="33"/>
    </row>
    <row r="72" spans="1:17" ht="15.95" customHeight="1">
      <c r="A72" s="12" t="s">
        <v>18</v>
      </c>
      <c r="B72" s="13" t="s">
        <v>18</v>
      </c>
      <c r="C72" s="12" t="s">
        <v>16</v>
      </c>
      <c r="D72" s="18" t="s">
        <v>22</v>
      </c>
      <c r="E72" s="15" t="str">
        <f t="shared" si="18"/>
        <v>03030205</v>
      </c>
      <c r="F72" s="16" t="s">
        <v>1222</v>
      </c>
      <c r="G72" s="16" t="str">
        <f t="shared" si="17"/>
        <v>抽屉03槽刀片</v>
      </c>
      <c r="H72" t="str">
        <f t="shared" si="19"/>
        <v>行号02</v>
      </c>
      <c r="I72" s="16" t="str">
        <f t="shared" si="20"/>
        <v>序号05</v>
      </c>
      <c r="J72" s="36" t="s">
        <v>1169</v>
      </c>
      <c r="K72" s="39">
        <v>20</v>
      </c>
      <c r="L72" s="39">
        <v>30</v>
      </c>
      <c r="M72" s="39"/>
      <c r="N72" s="39"/>
      <c r="O72" s="17" t="s">
        <v>1232</v>
      </c>
      <c r="P72" s="33"/>
      <c r="Q72" s="33"/>
    </row>
    <row r="73" spans="1:17" ht="15.95" customHeight="1">
      <c r="A73" s="12" t="s">
        <v>18</v>
      </c>
      <c r="B73" s="13" t="s">
        <v>18</v>
      </c>
      <c r="C73" s="12" t="s">
        <v>16</v>
      </c>
      <c r="D73" s="18" t="s">
        <v>24</v>
      </c>
      <c r="E73" s="15" t="str">
        <f t="shared" si="18"/>
        <v>03030206</v>
      </c>
      <c r="F73" s="16" t="s">
        <v>1222</v>
      </c>
      <c r="G73" s="16" t="str">
        <f t="shared" si="17"/>
        <v>抽屉03槽刀片</v>
      </c>
      <c r="H73" t="str">
        <f t="shared" si="19"/>
        <v>行号02</v>
      </c>
      <c r="I73" s="16" t="str">
        <f t="shared" si="20"/>
        <v>序号06</v>
      </c>
      <c r="J73" t="s">
        <v>1170</v>
      </c>
      <c r="K73" s="39">
        <v>30</v>
      </c>
      <c r="L73" s="39">
        <v>30</v>
      </c>
      <c r="M73" s="39"/>
      <c r="N73" s="39"/>
      <c r="O73" s="23" t="s">
        <v>1245</v>
      </c>
      <c r="P73" s="33">
        <v>578223</v>
      </c>
      <c r="Q73" s="33">
        <v>177.38</v>
      </c>
    </row>
    <row r="74" spans="1:17" ht="15.95" customHeight="1">
      <c r="A74" s="12" t="s">
        <v>18</v>
      </c>
      <c r="B74" s="13" t="s">
        <v>18</v>
      </c>
      <c r="C74" s="12" t="s">
        <v>16</v>
      </c>
      <c r="D74" s="18" t="s">
        <v>26</v>
      </c>
      <c r="E74" s="15" t="str">
        <f t="shared" si="18"/>
        <v>03030207</v>
      </c>
      <c r="F74" s="16" t="s">
        <v>1222</v>
      </c>
      <c r="G74" s="16" t="str">
        <f t="shared" si="17"/>
        <v>抽屉03槽刀片</v>
      </c>
      <c r="H74" t="str">
        <f t="shared" si="19"/>
        <v>行号02</v>
      </c>
      <c r="I74" s="16" t="str">
        <f t="shared" si="20"/>
        <v>序号07</v>
      </c>
      <c r="J74" t="s">
        <v>1291</v>
      </c>
      <c r="K74" s="39">
        <v>20</v>
      </c>
      <c r="L74" s="39">
        <v>30</v>
      </c>
      <c r="M74" s="39"/>
      <c r="N74" s="39"/>
      <c r="O74" s="17" t="s">
        <v>1232</v>
      </c>
      <c r="P74" s="33">
        <v>969480</v>
      </c>
      <c r="Q74" s="33">
        <v>183.42</v>
      </c>
    </row>
    <row r="75" spans="1:17" ht="15.95" customHeight="1">
      <c r="A75" s="12" t="s">
        <v>18</v>
      </c>
      <c r="B75" s="13" t="s">
        <v>18</v>
      </c>
      <c r="C75" s="12" t="s">
        <v>16</v>
      </c>
      <c r="D75" s="18" t="s">
        <v>28</v>
      </c>
      <c r="E75" s="15" t="str">
        <f t="shared" si="18"/>
        <v>03030208</v>
      </c>
      <c r="F75" s="16" t="s">
        <v>1222</v>
      </c>
      <c r="G75" s="16" t="str">
        <f t="shared" si="17"/>
        <v>抽屉03槽刀片</v>
      </c>
      <c r="H75" t="str">
        <f t="shared" si="19"/>
        <v>行号02</v>
      </c>
      <c r="I75" s="16" t="str">
        <f t="shared" si="20"/>
        <v>序号08</v>
      </c>
      <c r="J75" s="24"/>
      <c r="K75" s="41"/>
      <c r="L75" s="41"/>
      <c r="M75" s="19">
        <v>0</v>
      </c>
      <c r="N75" s="41">
        <v>0</v>
      </c>
      <c r="P75" s="33"/>
      <c r="Q75" s="33"/>
    </row>
    <row r="76" spans="1:17" ht="15.95" customHeight="1">
      <c r="A76" s="12" t="s">
        <v>18</v>
      </c>
      <c r="B76" s="13" t="s">
        <v>18</v>
      </c>
      <c r="C76" s="14" t="s">
        <v>18</v>
      </c>
      <c r="D76" s="12" t="s">
        <v>14</v>
      </c>
      <c r="E76" s="15" t="str">
        <f t="shared" si="18"/>
        <v>03030301</v>
      </c>
      <c r="F76" s="16" t="s">
        <v>1222</v>
      </c>
      <c r="G76" s="16" t="str">
        <f t="shared" si="17"/>
        <v>抽屉03槽刀片</v>
      </c>
      <c r="H76" t="str">
        <f t="shared" si="19"/>
        <v>行号03</v>
      </c>
      <c r="I76" s="16" t="str">
        <f t="shared" si="20"/>
        <v>序号01</v>
      </c>
      <c r="J76" s="24"/>
      <c r="K76" s="41"/>
      <c r="L76" s="41"/>
      <c r="M76" s="19">
        <v>0</v>
      </c>
      <c r="N76" s="41">
        <v>0</v>
      </c>
      <c r="P76" s="33"/>
      <c r="Q76" s="33"/>
    </row>
    <row r="77" spans="1:17">
      <c r="A77" s="12" t="s">
        <v>18</v>
      </c>
      <c r="B77" s="13" t="s">
        <v>18</v>
      </c>
      <c r="C77" s="14" t="s">
        <v>18</v>
      </c>
      <c r="D77" s="12" t="s">
        <v>16</v>
      </c>
      <c r="E77" s="15" t="str">
        <f t="shared" si="18"/>
        <v>03030302</v>
      </c>
      <c r="F77" s="16" t="s">
        <v>1222</v>
      </c>
      <c r="G77" s="16" t="str">
        <f t="shared" si="17"/>
        <v>抽屉03槽刀片</v>
      </c>
      <c r="H77" t="str">
        <f t="shared" si="19"/>
        <v>行号03</v>
      </c>
      <c r="I77" s="16" t="str">
        <f t="shared" si="20"/>
        <v>序号02</v>
      </c>
      <c r="J77" s="38"/>
      <c r="K77" s="41"/>
      <c r="L77" s="41"/>
      <c r="M77" s="19">
        <v>0</v>
      </c>
      <c r="N77" s="41">
        <v>0</v>
      </c>
      <c r="P77" s="33"/>
      <c r="Q77" s="33"/>
    </row>
    <row r="78" spans="1:17">
      <c r="A78" s="12" t="s">
        <v>18</v>
      </c>
      <c r="B78" s="13" t="s">
        <v>18</v>
      </c>
      <c r="C78" s="14" t="s">
        <v>18</v>
      </c>
      <c r="D78" s="12" t="s">
        <v>18</v>
      </c>
      <c r="E78" s="15" t="str">
        <f t="shared" si="18"/>
        <v>03030303</v>
      </c>
      <c r="F78" s="16" t="s">
        <v>1222</v>
      </c>
      <c r="G78" s="16" t="str">
        <f t="shared" si="17"/>
        <v>抽屉03槽刀片</v>
      </c>
      <c r="H78" t="str">
        <f t="shared" si="19"/>
        <v>行号03</v>
      </c>
      <c r="I78" s="16" t="str">
        <f t="shared" si="20"/>
        <v>序号03</v>
      </c>
      <c r="J78" s="36" t="s">
        <v>1292</v>
      </c>
      <c r="K78" s="51">
        <v>10</v>
      </c>
      <c r="L78" s="39">
        <v>30</v>
      </c>
      <c r="M78" s="39"/>
      <c r="N78" s="39"/>
      <c r="O78" s="23" t="s">
        <v>1237</v>
      </c>
      <c r="P78" s="33"/>
      <c r="Q78" s="33"/>
    </row>
    <row r="79" spans="1:17">
      <c r="A79" s="12" t="s">
        <v>18</v>
      </c>
      <c r="B79" s="13" t="s">
        <v>18</v>
      </c>
      <c r="C79" s="14" t="s">
        <v>18</v>
      </c>
      <c r="D79" s="12" t="s">
        <v>24</v>
      </c>
      <c r="E79" s="15" t="str">
        <f t="shared" si="18"/>
        <v>03030306</v>
      </c>
      <c r="F79" s="16" t="s">
        <v>1222</v>
      </c>
      <c r="G79" s="16" t="str">
        <f t="shared" si="17"/>
        <v>抽屉03槽刀片</v>
      </c>
      <c r="H79" t="str">
        <f t="shared" si="19"/>
        <v>行号03</v>
      </c>
      <c r="I79" s="16" t="str">
        <f t="shared" si="20"/>
        <v>序号06</v>
      </c>
      <c r="J79" s="36" t="s">
        <v>1173</v>
      </c>
      <c r="K79" s="51">
        <v>10</v>
      </c>
      <c r="L79" s="39">
        <v>30</v>
      </c>
      <c r="M79" s="39"/>
      <c r="N79" s="39"/>
      <c r="O79" s="17" t="s">
        <v>1232</v>
      </c>
      <c r="P79" s="33"/>
      <c r="Q79" s="33"/>
    </row>
    <row r="80" spans="1:17">
      <c r="A80" s="12" t="s">
        <v>18</v>
      </c>
      <c r="B80" s="13" t="s">
        <v>18</v>
      </c>
      <c r="C80" s="14" t="s">
        <v>18</v>
      </c>
      <c r="D80" s="12" t="s">
        <v>26</v>
      </c>
      <c r="E80" s="15" t="str">
        <f t="shared" si="18"/>
        <v>03030307</v>
      </c>
      <c r="F80" s="16" t="s">
        <v>1222</v>
      </c>
      <c r="G80" s="16" t="str">
        <f t="shared" si="17"/>
        <v>抽屉03槽刀片</v>
      </c>
      <c r="H80" t="str">
        <f t="shared" si="19"/>
        <v>行号03</v>
      </c>
      <c r="I80" s="16" t="str">
        <f t="shared" si="20"/>
        <v>序号07</v>
      </c>
      <c r="J80" t="s">
        <v>1174</v>
      </c>
      <c r="K80" s="39">
        <v>10</v>
      </c>
      <c r="L80" s="39">
        <v>30</v>
      </c>
      <c r="M80" s="39"/>
      <c r="N80" s="39"/>
      <c r="O80" s="23" t="s">
        <v>1237</v>
      </c>
      <c r="P80" s="33"/>
      <c r="Q80" s="33"/>
    </row>
    <row r="81" spans="1:17">
      <c r="A81" s="12" t="s">
        <v>18</v>
      </c>
      <c r="B81" s="13" t="s">
        <v>18</v>
      </c>
      <c r="C81" s="14" t="s">
        <v>18</v>
      </c>
      <c r="D81" s="12" t="s">
        <v>28</v>
      </c>
      <c r="E81" s="15" t="str">
        <f t="shared" si="18"/>
        <v>03030308</v>
      </c>
      <c r="F81" s="16" t="s">
        <v>1222</v>
      </c>
      <c r="G81" s="16" t="str">
        <f t="shared" si="17"/>
        <v>抽屉03槽刀片</v>
      </c>
      <c r="H81" t="str">
        <f t="shared" si="19"/>
        <v>行号03</v>
      </c>
      <c r="I81" s="16" t="str">
        <f t="shared" si="20"/>
        <v>序号08</v>
      </c>
      <c r="J81" s="36" t="s">
        <v>1175</v>
      </c>
      <c r="K81" s="39">
        <v>5</v>
      </c>
      <c r="L81" s="39">
        <v>15</v>
      </c>
      <c r="M81" s="39"/>
      <c r="N81" s="39"/>
      <c r="O81" s="23" t="s">
        <v>1246</v>
      </c>
      <c r="P81" s="33"/>
      <c r="Q81" s="33"/>
    </row>
    <row r="82" spans="1:17">
      <c r="A82" s="12" t="s">
        <v>18</v>
      </c>
      <c r="B82" s="13" t="s">
        <v>18</v>
      </c>
      <c r="C82" s="12" t="s">
        <v>20</v>
      </c>
      <c r="D82" s="18" t="s">
        <v>14</v>
      </c>
      <c r="E82" s="15" t="str">
        <f t="shared" si="18"/>
        <v>03030401</v>
      </c>
      <c r="F82" s="16" t="s">
        <v>1222</v>
      </c>
      <c r="G82" s="16" t="str">
        <f t="shared" si="17"/>
        <v>抽屉03槽刀片</v>
      </c>
      <c r="H82" t="str">
        <f t="shared" si="19"/>
        <v>行号04</v>
      </c>
      <c r="I82" s="16" t="str">
        <f t="shared" si="20"/>
        <v>序号01</v>
      </c>
      <c r="J82" s="36" t="s">
        <v>1176</v>
      </c>
      <c r="K82" s="39">
        <v>5</v>
      </c>
      <c r="L82" s="39">
        <v>5</v>
      </c>
      <c r="M82" s="39"/>
      <c r="N82" s="39"/>
      <c r="O82" s="23" t="s">
        <v>1237</v>
      </c>
      <c r="P82" s="33">
        <v>987908</v>
      </c>
      <c r="Q82" s="33"/>
    </row>
    <row r="83" spans="1:17">
      <c r="A83" s="12" t="s">
        <v>18</v>
      </c>
      <c r="B83" s="13" t="s">
        <v>18</v>
      </c>
      <c r="C83" s="12" t="s">
        <v>20</v>
      </c>
      <c r="D83" s="18" t="s">
        <v>16</v>
      </c>
      <c r="E83" s="15" t="str">
        <f t="shared" si="18"/>
        <v>03030402</v>
      </c>
      <c r="F83" s="16" t="s">
        <v>1222</v>
      </c>
      <c r="G83" s="16" t="str">
        <f t="shared" si="17"/>
        <v>抽屉03槽刀片</v>
      </c>
      <c r="H83" t="str">
        <f t="shared" si="19"/>
        <v>行号04</v>
      </c>
      <c r="I83" s="16" t="str">
        <f t="shared" si="20"/>
        <v>序号02</v>
      </c>
      <c r="J83" s="36" t="s">
        <v>1177</v>
      </c>
      <c r="K83" s="39">
        <v>10</v>
      </c>
      <c r="L83" s="39">
        <v>20</v>
      </c>
      <c r="M83" s="39"/>
      <c r="N83" s="39"/>
      <c r="O83" s="23" t="s">
        <v>1247</v>
      </c>
      <c r="P83" s="33"/>
      <c r="Q83" s="33"/>
    </row>
    <row r="84" spans="1:17">
      <c r="A84" s="12" t="s">
        <v>18</v>
      </c>
      <c r="B84" s="13" t="s">
        <v>18</v>
      </c>
      <c r="C84" s="12" t="s">
        <v>20</v>
      </c>
      <c r="D84" s="18" t="s">
        <v>18</v>
      </c>
      <c r="E84" s="15" t="str">
        <f t="shared" si="18"/>
        <v>03030403</v>
      </c>
      <c r="F84" s="16" t="s">
        <v>1222</v>
      </c>
      <c r="G84" s="16" t="str">
        <f t="shared" si="17"/>
        <v>抽屉03槽刀片</v>
      </c>
      <c r="H84" t="str">
        <f t="shared" si="19"/>
        <v>行号04</v>
      </c>
      <c r="I84" s="16" t="str">
        <f t="shared" si="20"/>
        <v>序号03</v>
      </c>
      <c r="J84" s="24"/>
      <c r="K84" s="41"/>
      <c r="L84" s="41"/>
      <c r="M84" s="19">
        <v>0</v>
      </c>
      <c r="N84" s="41">
        <v>0</v>
      </c>
      <c r="P84" s="33"/>
      <c r="Q84" s="33"/>
    </row>
    <row r="85" spans="1:17">
      <c r="A85" s="12" t="s">
        <v>18</v>
      </c>
      <c r="B85" s="13" t="s">
        <v>18</v>
      </c>
      <c r="C85" s="12" t="s">
        <v>20</v>
      </c>
      <c r="D85" s="18" t="s">
        <v>20</v>
      </c>
      <c r="E85" s="15" t="str">
        <f t="shared" si="18"/>
        <v>03030404</v>
      </c>
      <c r="F85" s="16" t="s">
        <v>1222</v>
      </c>
      <c r="G85" s="16" t="str">
        <f t="shared" si="17"/>
        <v>抽屉03槽刀片</v>
      </c>
      <c r="H85" t="str">
        <f t="shared" si="19"/>
        <v>行号04</v>
      </c>
      <c r="I85" s="16" t="str">
        <f t="shared" si="20"/>
        <v>序号04</v>
      </c>
      <c r="J85" s="24"/>
      <c r="K85" s="41"/>
      <c r="L85" s="41"/>
      <c r="M85" s="19">
        <v>0</v>
      </c>
      <c r="N85" s="41">
        <v>0</v>
      </c>
      <c r="P85" s="33"/>
      <c r="Q85" s="33"/>
    </row>
    <row r="86" spans="1:17">
      <c r="A86" s="12" t="s">
        <v>18</v>
      </c>
      <c r="B86" s="13" t="s">
        <v>18</v>
      </c>
      <c r="C86" s="12" t="s">
        <v>20</v>
      </c>
      <c r="D86" s="18" t="s">
        <v>22</v>
      </c>
      <c r="E86" s="15" t="str">
        <f t="shared" si="18"/>
        <v>03030405</v>
      </c>
      <c r="F86" s="16" t="s">
        <v>1222</v>
      </c>
      <c r="G86" s="16" t="str">
        <f t="shared" si="17"/>
        <v>抽屉03槽刀片</v>
      </c>
      <c r="H86" t="str">
        <f t="shared" si="19"/>
        <v>行号04</v>
      </c>
      <c r="I86" s="16" t="str">
        <f t="shared" si="20"/>
        <v>序号05</v>
      </c>
      <c r="J86" t="s">
        <v>1178</v>
      </c>
      <c r="K86" s="39">
        <v>10</v>
      </c>
      <c r="L86" s="39">
        <v>30</v>
      </c>
      <c r="M86" s="39"/>
      <c r="N86" s="39"/>
      <c r="O86" s="17" t="s">
        <v>1232</v>
      </c>
      <c r="P86" s="33"/>
      <c r="Q86" s="33"/>
    </row>
    <row r="87" spans="1:17">
      <c r="A87" s="12" t="s">
        <v>18</v>
      </c>
      <c r="B87" s="13" t="s">
        <v>18</v>
      </c>
      <c r="C87" s="12" t="s">
        <v>20</v>
      </c>
      <c r="D87" s="18" t="s">
        <v>24</v>
      </c>
      <c r="E87" s="15" t="str">
        <f t="shared" si="18"/>
        <v>03030406</v>
      </c>
      <c r="F87" s="16" t="s">
        <v>1222</v>
      </c>
      <c r="G87" s="16" t="str">
        <f t="shared" si="17"/>
        <v>抽屉03槽刀片</v>
      </c>
      <c r="H87" t="str">
        <f t="shared" si="19"/>
        <v>行号04</v>
      </c>
      <c r="I87" s="16" t="str">
        <f t="shared" si="20"/>
        <v>序号06</v>
      </c>
      <c r="J87" s="36" t="s">
        <v>1179</v>
      </c>
      <c r="K87" s="39">
        <v>20</v>
      </c>
      <c r="L87" s="39">
        <v>30</v>
      </c>
      <c r="M87" s="39"/>
      <c r="N87" s="39"/>
      <c r="O87" s="17" t="s">
        <v>1232</v>
      </c>
      <c r="P87" s="33"/>
      <c r="Q87" s="33"/>
    </row>
    <row r="88" spans="1:17">
      <c r="A88" s="12" t="s">
        <v>18</v>
      </c>
      <c r="B88" s="13" t="s">
        <v>18</v>
      </c>
      <c r="C88" s="12" t="s">
        <v>20</v>
      </c>
      <c r="D88" s="18" t="s">
        <v>26</v>
      </c>
      <c r="E88" s="15" t="str">
        <f t="shared" si="18"/>
        <v>03030407</v>
      </c>
      <c r="F88" s="16" t="s">
        <v>1222</v>
      </c>
      <c r="G88" s="16" t="str">
        <f t="shared" si="17"/>
        <v>抽屉03槽刀片</v>
      </c>
      <c r="H88" t="str">
        <f t="shared" si="19"/>
        <v>行号04</v>
      </c>
      <c r="I88" s="16" t="str">
        <f t="shared" si="20"/>
        <v>序号07</v>
      </c>
      <c r="J88" s="38"/>
      <c r="K88" s="41"/>
      <c r="L88" s="41"/>
      <c r="M88" s="19">
        <v>0</v>
      </c>
      <c r="N88" s="41">
        <v>0</v>
      </c>
      <c r="P88" s="33"/>
      <c r="Q88" s="33"/>
    </row>
    <row r="89" spans="1:17">
      <c r="A89" s="12" t="s">
        <v>18</v>
      </c>
      <c r="B89" s="13" t="s">
        <v>18</v>
      </c>
      <c r="C89" s="12" t="s">
        <v>20</v>
      </c>
      <c r="D89" s="18" t="s">
        <v>28</v>
      </c>
      <c r="E89" s="15" t="str">
        <f t="shared" si="18"/>
        <v>03030408</v>
      </c>
      <c r="F89" s="16" t="s">
        <v>1222</v>
      </c>
      <c r="G89" s="16" t="str">
        <f t="shared" si="17"/>
        <v>抽屉03槽刀片</v>
      </c>
      <c r="H89" t="str">
        <f t="shared" si="19"/>
        <v>行号04</v>
      </c>
      <c r="I89" s="16" t="str">
        <f t="shared" si="20"/>
        <v>序号08</v>
      </c>
      <c r="J89" s="36" t="s">
        <v>1293</v>
      </c>
      <c r="K89" s="39">
        <v>3</v>
      </c>
      <c r="L89" s="39">
        <v>6</v>
      </c>
      <c r="N89" s="39"/>
      <c r="O89" s="23" t="s">
        <v>1246</v>
      </c>
      <c r="P89" s="33"/>
      <c r="Q89" s="33"/>
    </row>
    <row r="90" spans="1:17">
      <c r="A90" s="12" t="s">
        <v>18</v>
      </c>
      <c r="B90" s="12" t="s">
        <v>20</v>
      </c>
      <c r="C90" s="14" t="s">
        <v>14</v>
      </c>
      <c r="D90" s="12" t="s">
        <v>22</v>
      </c>
      <c r="E90" s="15" t="str">
        <f t="shared" si="18"/>
        <v>03040105</v>
      </c>
      <c r="F90" s="16" t="s">
        <v>1222</v>
      </c>
      <c r="G90" s="16" t="str">
        <f>"抽屉"&amp;B90&amp;"螺纹刀片"</f>
        <v>抽屉04螺纹刀片</v>
      </c>
      <c r="H90" t="str">
        <f t="shared" si="19"/>
        <v>行号01</v>
      </c>
      <c r="I90" s="16" t="str">
        <f t="shared" si="20"/>
        <v>序号05</v>
      </c>
      <c r="J90" s="36" t="s">
        <v>1184</v>
      </c>
      <c r="K90" s="39">
        <v>0</v>
      </c>
      <c r="L90" s="39">
        <v>20</v>
      </c>
      <c r="M90" s="39"/>
      <c r="N90" s="39"/>
      <c r="O90" s="23" t="s">
        <v>1248</v>
      </c>
      <c r="P90" s="33"/>
      <c r="Q90" s="33"/>
    </row>
    <row r="91" spans="1:17">
      <c r="A91" s="12" t="s">
        <v>18</v>
      </c>
      <c r="B91" s="12" t="s">
        <v>20</v>
      </c>
      <c r="C91" s="14" t="s">
        <v>14</v>
      </c>
      <c r="D91" s="12" t="s">
        <v>26</v>
      </c>
      <c r="E91" s="15" t="str">
        <f t="shared" si="18"/>
        <v>03040107</v>
      </c>
      <c r="F91" s="16" t="s">
        <v>1222</v>
      </c>
      <c r="G91" s="16" t="str">
        <f t="shared" ref="G91:G104" si="21">"抽屉"&amp;B91&amp;"螺纹刀片"</f>
        <v>抽屉04螺纹刀片</v>
      </c>
      <c r="H91" t="str">
        <f t="shared" si="19"/>
        <v>行号01</v>
      </c>
      <c r="I91" s="16" t="str">
        <f t="shared" si="20"/>
        <v>序号07</v>
      </c>
      <c r="J91" s="36" t="s">
        <v>1231</v>
      </c>
      <c r="K91" s="39">
        <v>0</v>
      </c>
      <c r="L91" s="39">
        <v>10</v>
      </c>
      <c r="M91" s="39"/>
      <c r="N91" s="39"/>
      <c r="O91" s="23" t="s">
        <v>1248</v>
      </c>
      <c r="P91" s="33"/>
      <c r="Q91" s="33"/>
    </row>
    <row r="92" spans="1:17">
      <c r="A92" s="12" t="s">
        <v>18</v>
      </c>
      <c r="B92" s="12" t="s">
        <v>20</v>
      </c>
      <c r="C92" s="14" t="s">
        <v>14</v>
      </c>
      <c r="D92" s="12" t="s">
        <v>28</v>
      </c>
      <c r="E92" s="15" t="str">
        <f t="shared" si="18"/>
        <v>03040108</v>
      </c>
      <c r="F92" s="16" t="s">
        <v>1222</v>
      </c>
      <c r="G92" s="16" t="str">
        <f t="shared" si="21"/>
        <v>抽屉04螺纹刀片</v>
      </c>
      <c r="H92" t="str">
        <f t="shared" si="19"/>
        <v>行号01</v>
      </c>
      <c r="I92" s="16" t="str">
        <f t="shared" si="20"/>
        <v>序号08</v>
      </c>
      <c r="J92" s="38"/>
      <c r="K92" s="41"/>
      <c r="L92" s="41"/>
      <c r="M92" s="19">
        <v>0</v>
      </c>
      <c r="N92" s="41">
        <v>0</v>
      </c>
      <c r="P92" s="33"/>
      <c r="Q92" s="33"/>
    </row>
    <row r="93" spans="1:17">
      <c r="A93" s="12" t="s">
        <v>18</v>
      </c>
      <c r="B93" s="12" t="s">
        <v>20</v>
      </c>
      <c r="C93" s="12" t="s">
        <v>16</v>
      </c>
      <c r="D93" s="18" t="s">
        <v>28</v>
      </c>
      <c r="E93" s="15" t="str">
        <f t="shared" si="18"/>
        <v>03040208</v>
      </c>
      <c r="F93" s="16" t="s">
        <v>1222</v>
      </c>
      <c r="G93" s="16" t="str">
        <f t="shared" si="21"/>
        <v>抽屉04螺纹刀片</v>
      </c>
      <c r="H93" t="str">
        <f t="shared" si="19"/>
        <v>行号02</v>
      </c>
      <c r="I93" s="16" t="str">
        <f t="shared" si="20"/>
        <v>序号08</v>
      </c>
      <c r="J93" s="36" t="s">
        <v>1193</v>
      </c>
      <c r="K93" s="39">
        <v>0</v>
      </c>
      <c r="L93" s="39">
        <v>20</v>
      </c>
      <c r="M93" s="39"/>
      <c r="N93" s="39"/>
      <c r="O93" s="23" t="s">
        <v>1248</v>
      </c>
      <c r="P93" s="33"/>
      <c r="Q93" s="33"/>
    </row>
    <row r="94" spans="1:17">
      <c r="A94" s="12" t="s">
        <v>18</v>
      </c>
      <c r="B94" s="12" t="s">
        <v>20</v>
      </c>
      <c r="C94" s="14" t="s">
        <v>18</v>
      </c>
      <c r="D94" s="12" t="s">
        <v>14</v>
      </c>
      <c r="E94" s="15" t="str">
        <f t="shared" si="18"/>
        <v>03040301</v>
      </c>
      <c r="F94" s="16" t="s">
        <v>1222</v>
      </c>
      <c r="G94" s="16" t="str">
        <f t="shared" si="21"/>
        <v>抽屉04螺纹刀片</v>
      </c>
      <c r="H94" t="str">
        <f t="shared" si="19"/>
        <v>行号03</v>
      </c>
      <c r="I94" s="16" t="str">
        <f t="shared" si="20"/>
        <v>序号01</v>
      </c>
      <c r="J94" s="38"/>
      <c r="K94" s="41"/>
      <c r="L94" s="41"/>
      <c r="M94" s="19">
        <v>0</v>
      </c>
      <c r="N94" s="41">
        <v>0</v>
      </c>
      <c r="P94" s="33"/>
      <c r="Q94" s="33"/>
    </row>
    <row r="95" spans="1:17">
      <c r="A95" s="12" t="s">
        <v>18</v>
      </c>
      <c r="B95" s="12" t="s">
        <v>20</v>
      </c>
      <c r="C95" s="14" t="s">
        <v>18</v>
      </c>
      <c r="D95" s="12" t="s">
        <v>26</v>
      </c>
      <c r="E95" s="15" t="str">
        <f t="shared" si="18"/>
        <v>03040307</v>
      </c>
      <c r="F95" s="16" t="s">
        <v>1222</v>
      </c>
      <c r="G95" s="16" t="str">
        <f t="shared" si="21"/>
        <v>抽屉04螺纹刀片</v>
      </c>
      <c r="H95" t="str">
        <f t="shared" si="19"/>
        <v>行号03</v>
      </c>
      <c r="I95" s="16" t="str">
        <f t="shared" si="20"/>
        <v>序号07</v>
      </c>
      <c r="J95" s="24"/>
      <c r="K95" s="41"/>
      <c r="L95" s="41"/>
      <c r="M95" s="19">
        <v>0</v>
      </c>
      <c r="N95" s="41">
        <v>0</v>
      </c>
      <c r="P95" s="33"/>
      <c r="Q95" s="33"/>
    </row>
    <row r="96" spans="1:17">
      <c r="A96" s="12" t="s">
        <v>18</v>
      </c>
      <c r="B96" s="12" t="s">
        <v>20</v>
      </c>
      <c r="C96" s="14" t="s">
        <v>18</v>
      </c>
      <c r="D96" s="12" t="s">
        <v>28</v>
      </c>
      <c r="E96" s="15" t="str">
        <f t="shared" si="18"/>
        <v>03040308</v>
      </c>
      <c r="F96" s="16" t="s">
        <v>1222</v>
      </c>
      <c r="G96" s="16" t="str">
        <f t="shared" si="21"/>
        <v>抽屉04螺纹刀片</v>
      </c>
      <c r="H96" t="str">
        <f t="shared" si="19"/>
        <v>行号03</v>
      </c>
      <c r="I96" s="16" t="str">
        <f t="shared" si="20"/>
        <v>序号08</v>
      </c>
      <c r="J96" t="s">
        <v>1294</v>
      </c>
      <c r="K96" s="39">
        <v>0</v>
      </c>
      <c r="L96" s="39">
        <v>20</v>
      </c>
      <c r="M96" s="39"/>
      <c r="N96" s="39"/>
      <c r="O96" s="23" t="s">
        <v>1248</v>
      </c>
      <c r="P96" s="33"/>
      <c r="Q96" s="33"/>
    </row>
    <row r="97" spans="1:17">
      <c r="A97" s="12" t="s">
        <v>18</v>
      </c>
      <c r="B97" s="12" t="s">
        <v>20</v>
      </c>
      <c r="C97" s="12" t="s">
        <v>20</v>
      </c>
      <c r="D97" s="18" t="s">
        <v>14</v>
      </c>
      <c r="E97" s="15" t="str">
        <f t="shared" si="18"/>
        <v>03040401</v>
      </c>
      <c r="F97" s="16" t="s">
        <v>1222</v>
      </c>
      <c r="G97" s="16" t="str">
        <f t="shared" si="21"/>
        <v>抽屉04螺纹刀片</v>
      </c>
      <c r="H97" t="str">
        <f t="shared" si="19"/>
        <v>行号04</v>
      </c>
      <c r="I97" s="16" t="str">
        <f t="shared" si="20"/>
        <v>序号01</v>
      </c>
      <c r="J97" s="36" t="s">
        <v>1295</v>
      </c>
      <c r="K97" s="39">
        <v>0</v>
      </c>
      <c r="L97" s="39">
        <v>30</v>
      </c>
      <c r="M97" s="39"/>
      <c r="N97" s="39"/>
      <c r="O97" s="23" t="s">
        <v>1248</v>
      </c>
      <c r="P97" s="33">
        <v>969127</v>
      </c>
      <c r="Q97" s="33"/>
    </row>
    <row r="98" spans="1:17">
      <c r="A98" s="12" t="s">
        <v>18</v>
      </c>
      <c r="B98" s="12" t="s">
        <v>20</v>
      </c>
      <c r="C98" s="12" t="s">
        <v>20</v>
      </c>
      <c r="D98" s="18" t="s">
        <v>16</v>
      </c>
      <c r="E98" s="15" t="str">
        <f t="shared" si="18"/>
        <v>03040402</v>
      </c>
      <c r="F98" s="16" t="s">
        <v>1222</v>
      </c>
      <c r="G98" s="16" t="str">
        <f t="shared" si="21"/>
        <v>抽屉04螺纹刀片</v>
      </c>
      <c r="H98" t="str">
        <f t="shared" si="19"/>
        <v>行号04</v>
      </c>
      <c r="I98" s="16" t="str">
        <f t="shared" si="20"/>
        <v>序号02</v>
      </c>
      <c r="J98" s="36" t="s">
        <v>1199</v>
      </c>
      <c r="K98" s="39">
        <v>0</v>
      </c>
      <c r="L98" s="39">
        <v>10</v>
      </c>
      <c r="M98" s="39"/>
      <c r="N98" s="39"/>
      <c r="O98" s="23" t="s">
        <v>1248</v>
      </c>
      <c r="P98" s="33"/>
      <c r="Q98" s="33"/>
    </row>
    <row r="99" spans="1:17">
      <c r="A99" s="12" t="s">
        <v>18</v>
      </c>
      <c r="B99" s="12" t="s">
        <v>20</v>
      </c>
      <c r="C99" s="12" t="s">
        <v>20</v>
      </c>
      <c r="D99" s="18" t="s">
        <v>18</v>
      </c>
      <c r="E99" s="15" t="str">
        <f t="shared" si="18"/>
        <v>03040403</v>
      </c>
      <c r="F99" s="16" t="s">
        <v>1222</v>
      </c>
      <c r="G99" s="16" t="str">
        <f t="shared" si="21"/>
        <v>抽屉04螺纹刀片</v>
      </c>
      <c r="H99" t="str">
        <f t="shared" si="19"/>
        <v>行号04</v>
      </c>
      <c r="I99" s="16" t="str">
        <f t="shared" si="20"/>
        <v>序号03</v>
      </c>
      <c r="J99" t="s">
        <v>1200</v>
      </c>
      <c r="K99" s="39">
        <v>0</v>
      </c>
      <c r="L99" s="39">
        <v>10</v>
      </c>
      <c r="M99" s="39"/>
      <c r="N99" s="39"/>
      <c r="O99" s="23" t="s">
        <v>1248</v>
      </c>
      <c r="P99" s="33"/>
      <c r="Q99" s="33"/>
    </row>
    <row r="100" spans="1:17">
      <c r="A100" s="12" t="s">
        <v>18</v>
      </c>
      <c r="B100" s="12" t="s">
        <v>20</v>
      </c>
      <c r="C100" s="12" t="s">
        <v>20</v>
      </c>
      <c r="D100" s="18" t="s">
        <v>20</v>
      </c>
      <c r="E100" s="15" t="str">
        <f t="shared" si="18"/>
        <v>03040404</v>
      </c>
      <c r="F100" s="16" t="s">
        <v>1222</v>
      </c>
      <c r="G100" s="16" t="str">
        <f t="shared" si="21"/>
        <v>抽屉04螺纹刀片</v>
      </c>
      <c r="H100" t="str">
        <f t="shared" si="19"/>
        <v>行号04</v>
      </c>
      <c r="I100" s="16" t="str">
        <f t="shared" si="20"/>
        <v>序号04</v>
      </c>
      <c r="J100" s="24"/>
      <c r="K100" s="41"/>
      <c r="L100" s="41"/>
      <c r="M100" s="19">
        <v>0</v>
      </c>
      <c r="N100" s="41">
        <v>0</v>
      </c>
      <c r="P100" s="33"/>
      <c r="Q100" s="33"/>
    </row>
    <row r="101" spans="1:17">
      <c r="A101" s="12" t="s">
        <v>18</v>
      </c>
      <c r="B101" s="12" t="s">
        <v>20</v>
      </c>
      <c r="C101" s="12" t="s">
        <v>20</v>
      </c>
      <c r="D101" s="18" t="s">
        <v>22</v>
      </c>
      <c r="E101" s="15" t="str">
        <f t="shared" si="18"/>
        <v>03040405</v>
      </c>
      <c r="F101" s="16" t="s">
        <v>1222</v>
      </c>
      <c r="G101" s="16" t="str">
        <f t="shared" si="21"/>
        <v>抽屉04螺纹刀片</v>
      </c>
      <c r="H101" t="str">
        <f t="shared" si="19"/>
        <v>行号04</v>
      </c>
      <c r="I101" s="16" t="str">
        <f t="shared" si="20"/>
        <v>序号05</v>
      </c>
      <c r="J101" s="36" t="s">
        <v>1201</v>
      </c>
      <c r="K101" s="39">
        <v>0</v>
      </c>
      <c r="L101" s="39">
        <v>20</v>
      </c>
      <c r="M101" s="39"/>
      <c r="N101" s="39"/>
      <c r="O101" s="23" t="s">
        <v>1248</v>
      </c>
      <c r="P101" s="33"/>
      <c r="Q101" s="33"/>
    </row>
    <row r="102" spans="1:17">
      <c r="A102" s="12" t="s">
        <v>18</v>
      </c>
      <c r="B102" s="12" t="s">
        <v>20</v>
      </c>
      <c r="C102" s="12" t="s">
        <v>20</v>
      </c>
      <c r="D102" s="18" t="s">
        <v>24</v>
      </c>
      <c r="E102" s="15" t="str">
        <f t="shared" si="18"/>
        <v>03040406</v>
      </c>
      <c r="F102" s="16" t="s">
        <v>1222</v>
      </c>
      <c r="G102" s="16" t="str">
        <f t="shared" si="21"/>
        <v>抽屉04螺纹刀片</v>
      </c>
      <c r="H102" t="str">
        <f t="shared" si="19"/>
        <v>行号04</v>
      </c>
      <c r="I102" s="16" t="str">
        <f t="shared" si="20"/>
        <v>序号06</v>
      </c>
      <c r="J102" s="36" t="s">
        <v>1202</v>
      </c>
      <c r="K102" s="39">
        <v>0</v>
      </c>
      <c r="L102" s="39">
        <v>20</v>
      </c>
      <c r="M102" s="39"/>
      <c r="N102" s="39"/>
      <c r="O102" s="23" t="s">
        <v>1248</v>
      </c>
      <c r="P102" s="33"/>
      <c r="Q102" s="33"/>
    </row>
    <row r="103" spans="1:17">
      <c r="A103" s="12" t="s">
        <v>18</v>
      </c>
      <c r="B103" s="12" t="s">
        <v>20</v>
      </c>
      <c r="C103" s="12" t="s">
        <v>20</v>
      </c>
      <c r="D103" s="18" t="s">
        <v>26</v>
      </c>
      <c r="E103" s="15" t="str">
        <f t="shared" si="18"/>
        <v>03040407</v>
      </c>
      <c r="F103" s="16" t="s">
        <v>1222</v>
      </c>
      <c r="G103" s="16" t="str">
        <f t="shared" si="21"/>
        <v>抽屉04螺纹刀片</v>
      </c>
      <c r="H103" t="str">
        <f t="shared" si="19"/>
        <v>行号04</v>
      </c>
      <c r="I103" s="16" t="str">
        <f t="shared" si="20"/>
        <v>序号07</v>
      </c>
      <c r="J103" s="38"/>
      <c r="K103" s="41"/>
      <c r="L103" s="41"/>
      <c r="M103" s="19">
        <v>0</v>
      </c>
      <c r="N103" s="41">
        <v>0</v>
      </c>
      <c r="P103" s="33"/>
      <c r="Q103" s="33"/>
    </row>
    <row r="104" spans="1:17">
      <c r="A104" s="12" t="s">
        <v>18</v>
      </c>
      <c r="B104" s="12" t="s">
        <v>20</v>
      </c>
      <c r="C104" s="12" t="s">
        <v>20</v>
      </c>
      <c r="D104" s="18" t="s">
        <v>28</v>
      </c>
      <c r="E104" s="15" t="str">
        <f t="shared" si="18"/>
        <v>03040408</v>
      </c>
      <c r="F104" s="16" t="s">
        <v>1222</v>
      </c>
      <c r="G104" s="16" t="str">
        <f t="shared" si="21"/>
        <v>抽屉04螺纹刀片</v>
      </c>
      <c r="H104" t="str">
        <f t="shared" si="19"/>
        <v>行号04</v>
      </c>
      <c r="I104" s="16" t="str">
        <f t="shared" si="20"/>
        <v>序号08</v>
      </c>
      <c r="J104" s="38"/>
      <c r="K104" s="41"/>
      <c r="L104" s="41"/>
      <c r="M104" s="19">
        <v>0</v>
      </c>
      <c r="N104" s="41">
        <v>0</v>
      </c>
      <c r="P104" s="33"/>
      <c r="Q104" s="33"/>
    </row>
    <row r="105" spans="1:17">
      <c r="A105" s="12" t="s">
        <v>18</v>
      </c>
      <c r="B105" s="13" t="s">
        <v>22</v>
      </c>
      <c r="C105" s="14" t="s">
        <v>14</v>
      </c>
      <c r="D105" s="12" t="s">
        <v>14</v>
      </c>
      <c r="E105" s="15" t="str">
        <f t="shared" si="18"/>
        <v>03050101</v>
      </c>
      <c r="F105" s="16" t="s">
        <v>1222</v>
      </c>
      <c r="G105" s="16" t="str">
        <f>"抽屉"&amp;B105&amp;"螺纹刀片"</f>
        <v>抽屉05螺纹刀片</v>
      </c>
      <c r="H105" t="str">
        <f t="shared" si="19"/>
        <v>行号01</v>
      </c>
      <c r="I105" s="16" t="str">
        <f t="shared" si="20"/>
        <v>序号01</v>
      </c>
      <c r="J105" s="36" t="s">
        <v>1296</v>
      </c>
      <c r="K105" s="39">
        <v>10</v>
      </c>
      <c r="L105" s="39">
        <v>20</v>
      </c>
      <c r="M105" s="39"/>
      <c r="N105" s="39"/>
      <c r="O105" s="23" t="s">
        <v>1237</v>
      </c>
      <c r="P105" s="33">
        <v>549584</v>
      </c>
      <c r="Q105" s="33"/>
    </row>
    <row r="106" spans="1:17">
      <c r="A106" s="12" t="s">
        <v>18</v>
      </c>
      <c r="B106" s="13" t="s">
        <v>22</v>
      </c>
      <c r="C106" s="14" t="s">
        <v>14</v>
      </c>
      <c r="D106" s="12" t="s">
        <v>16</v>
      </c>
      <c r="E106" s="15" t="str">
        <f t="shared" si="18"/>
        <v>03050102</v>
      </c>
      <c r="F106" s="16" t="s">
        <v>1222</v>
      </c>
      <c r="G106" s="16" t="str">
        <f t="shared" ref="G106:G134" si="22">"抽屉"&amp;B106&amp;"螺纹刀片"</f>
        <v>抽屉05螺纹刀片</v>
      </c>
      <c r="H106" t="str">
        <f t="shared" si="19"/>
        <v>行号01</v>
      </c>
      <c r="I106" s="16" t="str">
        <f t="shared" si="20"/>
        <v>序号02</v>
      </c>
      <c r="J106" s="49" t="s">
        <v>1297</v>
      </c>
      <c r="K106" s="39">
        <v>50</v>
      </c>
      <c r="L106" s="39">
        <v>50</v>
      </c>
      <c r="M106" s="39"/>
      <c r="N106" s="39"/>
      <c r="O106" s="23" t="s">
        <v>1237</v>
      </c>
      <c r="P106" s="33">
        <v>364177</v>
      </c>
      <c r="Q106" s="33">
        <v>167.05</v>
      </c>
    </row>
    <row r="107" spans="1:17">
      <c r="A107" s="12" t="s">
        <v>18</v>
      </c>
      <c r="B107" s="13" t="s">
        <v>22</v>
      </c>
      <c r="C107" s="14" t="s">
        <v>14</v>
      </c>
      <c r="D107" s="12" t="s">
        <v>18</v>
      </c>
      <c r="E107" s="15" t="str">
        <f t="shared" si="18"/>
        <v>03050103</v>
      </c>
      <c r="F107" s="16" t="s">
        <v>1222</v>
      </c>
      <c r="G107" s="16" t="str">
        <f t="shared" si="22"/>
        <v>抽屉05螺纹刀片</v>
      </c>
      <c r="H107" t="str">
        <f t="shared" si="19"/>
        <v>行号01</v>
      </c>
      <c r="I107" s="16" t="str">
        <f t="shared" si="20"/>
        <v>序号03</v>
      </c>
      <c r="J107" t="s">
        <v>1298</v>
      </c>
      <c r="K107" s="39">
        <v>20</v>
      </c>
      <c r="L107" s="39">
        <v>30</v>
      </c>
      <c r="M107" s="39"/>
      <c r="N107" s="39"/>
      <c r="O107" s="23" t="s">
        <v>1237</v>
      </c>
      <c r="P107" s="33">
        <v>364487</v>
      </c>
      <c r="Q107" s="33">
        <v>167.05</v>
      </c>
    </row>
    <row r="108" spans="1:17">
      <c r="A108" s="12" t="s">
        <v>18</v>
      </c>
      <c r="B108" s="13" t="s">
        <v>22</v>
      </c>
      <c r="C108" s="14" t="s">
        <v>14</v>
      </c>
      <c r="D108" s="12" t="s">
        <v>20</v>
      </c>
      <c r="E108" s="15" t="str">
        <f t="shared" si="18"/>
        <v>03050104</v>
      </c>
      <c r="F108" s="16" t="s">
        <v>1222</v>
      </c>
      <c r="G108" s="16" t="str">
        <f t="shared" si="22"/>
        <v>抽屉05螺纹刀片</v>
      </c>
      <c r="H108" t="str">
        <f t="shared" si="19"/>
        <v>行号01</v>
      </c>
      <c r="I108" s="16" t="str">
        <f t="shared" si="20"/>
        <v>序号04</v>
      </c>
      <c r="J108" t="s">
        <v>1203</v>
      </c>
      <c r="K108" s="39">
        <v>20</v>
      </c>
      <c r="L108" s="39">
        <v>30</v>
      </c>
      <c r="M108" s="39"/>
      <c r="N108" s="39"/>
      <c r="O108" s="23" t="s">
        <v>1237</v>
      </c>
      <c r="P108" s="33">
        <v>423203</v>
      </c>
      <c r="Q108" s="33"/>
    </row>
    <row r="109" spans="1:17">
      <c r="A109" s="12" t="s">
        <v>18</v>
      </c>
      <c r="B109" s="13" t="s">
        <v>22</v>
      </c>
      <c r="C109" s="14" t="s">
        <v>14</v>
      </c>
      <c r="D109" s="12" t="s">
        <v>22</v>
      </c>
      <c r="E109" s="15" t="str">
        <f t="shared" si="18"/>
        <v>03050105</v>
      </c>
      <c r="F109" s="16" t="s">
        <v>1222</v>
      </c>
      <c r="G109" s="16" t="str">
        <f t="shared" si="22"/>
        <v>抽屉05螺纹刀片</v>
      </c>
      <c r="H109" t="str">
        <f t="shared" si="19"/>
        <v>行号01</v>
      </c>
      <c r="I109" s="16" t="str">
        <f t="shared" si="20"/>
        <v>序号05</v>
      </c>
      <c r="J109" s="38"/>
      <c r="K109" s="41"/>
      <c r="L109" s="41"/>
      <c r="M109" s="19">
        <v>0</v>
      </c>
      <c r="N109" s="41">
        <v>0</v>
      </c>
      <c r="P109" s="33"/>
      <c r="Q109" s="33"/>
    </row>
    <row r="110" spans="1:17">
      <c r="A110" s="12" t="s">
        <v>18</v>
      </c>
      <c r="B110" s="13" t="s">
        <v>22</v>
      </c>
      <c r="C110" s="14" t="s">
        <v>14</v>
      </c>
      <c r="D110" s="12" t="s">
        <v>26</v>
      </c>
      <c r="E110" s="15" t="str">
        <f t="shared" si="18"/>
        <v>03050107</v>
      </c>
      <c r="F110" s="16" t="s">
        <v>1222</v>
      </c>
      <c r="G110" s="16" t="str">
        <f t="shared" si="22"/>
        <v>抽屉05螺纹刀片</v>
      </c>
      <c r="H110" t="str">
        <f t="shared" si="19"/>
        <v>行号01</v>
      </c>
      <c r="I110" s="16" t="str">
        <f t="shared" si="20"/>
        <v>序号07</v>
      </c>
      <c r="J110" s="36" t="s">
        <v>1299</v>
      </c>
      <c r="K110" s="39">
        <v>20</v>
      </c>
      <c r="L110" s="39">
        <v>30</v>
      </c>
      <c r="M110" s="39"/>
      <c r="N110" s="39"/>
      <c r="O110" s="23" t="s">
        <v>1237</v>
      </c>
      <c r="P110" s="33">
        <v>373753</v>
      </c>
      <c r="Q110" s="33">
        <v>167.05</v>
      </c>
    </row>
    <row r="111" spans="1:17">
      <c r="A111" s="12" t="s">
        <v>18</v>
      </c>
      <c r="B111" s="13" t="s">
        <v>22</v>
      </c>
      <c r="C111" s="14" t="s">
        <v>14</v>
      </c>
      <c r="D111" s="12" t="s">
        <v>28</v>
      </c>
      <c r="E111" s="15" t="str">
        <f t="shared" si="18"/>
        <v>03050108</v>
      </c>
      <c r="F111" s="16" t="s">
        <v>1222</v>
      </c>
      <c r="G111" s="16" t="str">
        <f t="shared" si="22"/>
        <v>抽屉05螺纹刀片</v>
      </c>
      <c r="H111" t="str">
        <f t="shared" si="19"/>
        <v>行号01</v>
      </c>
      <c r="I111" s="16" t="str">
        <f t="shared" si="20"/>
        <v>序号08</v>
      </c>
      <c r="J111" s="36" t="s">
        <v>1300</v>
      </c>
      <c r="K111" s="39">
        <v>50</v>
      </c>
      <c r="L111" s="39">
        <v>30</v>
      </c>
      <c r="M111" s="39"/>
      <c r="N111" s="39"/>
      <c r="O111" s="23" t="s">
        <v>1237</v>
      </c>
      <c r="P111" s="33">
        <v>373702</v>
      </c>
      <c r="Q111" s="33">
        <v>167.05</v>
      </c>
    </row>
    <row r="112" spans="1:17">
      <c r="A112" s="12" t="s">
        <v>18</v>
      </c>
      <c r="B112" s="13" t="s">
        <v>22</v>
      </c>
      <c r="C112" s="12" t="s">
        <v>16</v>
      </c>
      <c r="D112" s="18" t="s">
        <v>14</v>
      </c>
      <c r="E112" s="15" t="str">
        <f t="shared" si="18"/>
        <v>03050201</v>
      </c>
      <c r="F112" s="16" t="s">
        <v>1222</v>
      </c>
      <c r="G112" s="16" t="str">
        <f t="shared" si="22"/>
        <v>抽屉05螺纹刀片</v>
      </c>
      <c r="H112" t="str">
        <f t="shared" si="19"/>
        <v>行号02</v>
      </c>
      <c r="I112" s="16" t="str">
        <f t="shared" si="20"/>
        <v>序号01</v>
      </c>
      <c r="J112" s="36" t="s">
        <v>1301</v>
      </c>
      <c r="K112" s="39">
        <v>10</v>
      </c>
      <c r="L112" s="39">
        <v>30</v>
      </c>
      <c r="M112" s="39"/>
      <c r="N112" s="39"/>
      <c r="O112" s="23" t="s">
        <v>1237</v>
      </c>
      <c r="P112" s="33">
        <v>373729</v>
      </c>
      <c r="Q112" s="33">
        <v>167.05</v>
      </c>
    </row>
    <row r="113" spans="1:17">
      <c r="A113" s="12" t="s">
        <v>18</v>
      </c>
      <c r="B113" s="13" t="s">
        <v>22</v>
      </c>
      <c r="C113" s="12" t="s">
        <v>16</v>
      </c>
      <c r="D113" s="18" t="s">
        <v>18</v>
      </c>
      <c r="E113" s="15" t="str">
        <f t="shared" si="18"/>
        <v>03050203</v>
      </c>
      <c r="F113" s="16" t="s">
        <v>1222</v>
      </c>
      <c r="G113" s="16" t="str">
        <f t="shared" si="22"/>
        <v>抽屉05螺纹刀片</v>
      </c>
      <c r="H113" t="str">
        <f t="shared" si="19"/>
        <v>行号02</v>
      </c>
      <c r="I113" s="16" t="str">
        <f t="shared" si="20"/>
        <v>序号03</v>
      </c>
      <c r="J113" s="36" t="s">
        <v>1302</v>
      </c>
      <c r="K113" s="39">
        <v>15</v>
      </c>
      <c r="L113" s="39">
        <v>20</v>
      </c>
      <c r="M113" s="39"/>
      <c r="N113" s="39"/>
      <c r="O113" s="23" t="s">
        <v>1237</v>
      </c>
      <c r="P113" s="33">
        <v>372366</v>
      </c>
      <c r="Q113" s="33">
        <v>167.05</v>
      </c>
    </row>
    <row r="114" spans="1:17">
      <c r="A114" s="12" t="s">
        <v>18</v>
      </c>
      <c r="B114" s="13" t="s">
        <v>22</v>
      </c>
      <c r="C114" s="12" t="s">
        <v>16</v>
      </c>
      <c r="D114" s="18" t="s">
        <v>20</v>
      </c>
      <c r="E114" s="15" t="str">
        <f t="shared" si="18"/>
        <v>03050204</v>
      </c>
      <c r="F114" s="16" t="s">
        <v>1222</v>
      </c>
      <c r="G114" s="16" t="str">
        <f t="shared" si="22"/>
        <v>抽屉05螺纹刀片</v>
      </c>
      <c r="H114" t="str">
        <f t="shared" si="19"/>
        <v>行号02</v>
      </c>
      <c r="I114" s="16" t="str">
        <f t="shared" si="20"/>
        <v>序号04</v>
      </c>
      <c r="J114" s="36" t="s">
        <v>1303</v>
      </c>
      <c r="K114" s="39">
        <v>15</v>
      </c>
      <c r="L114" s="39">
        <v>20</v>
      </c>
      <c r="M114" s="39"/>
      <c r="N114" s="39"/>
      <c r="O114" s="23" t="s">
        <v>1237</v>
      </c>
      <c r="P114" s="33">
        <v>377058</v>
      </c>
      <c r="Q114" s="33">
        <v>167.05</v>
      </c>
    </row>
    <row r="115" spans="1:17">
      <c r="A115" s="12" t="s">
        <v>18</v>
      </c>
      <c r="B115" s="13" t="s">
        <v>22</v>
      </c>
      <c r="C115" s="12" t="s">
        <v>16</v>
      </c>
      <c r="D115" s="18" t="s">
        <v>22</v>
      </c>
      <c r="E115" s="15" t="str">
        <f t="shared" si="18"/>
        <v>03050205</v>
      </c>
      <c r="F115" s="16" t="s">
        <v>1222</v>
      </c>
      <c r="G115" s="16" t="str">
        <f t="shared" si="22"/>
        <v>抽屉05螺纹刀片</v>
      </c>
      <c r="H115" t="str">
        <f t="shared" si="19"/>
        <v>行号02</v>
      </c>
      <c r="I115" s="16" t="str">
        <f t="shared" si="20"/>
        <v>序号05</v>
      </c>
      <c r="J115" s="36" t="s">
        <v>1304</v>
      </c>
      <c r="K115" s="39">
        <v>30</v>
      </c>
      <c r="L115" s="39">
        <v>20</v>
      </c>
      <c r="M115" s="39"/>
      <c r="N115" s="39"/>
      <c r="O115" s="23" t="s">
        <v>1237</v>
      </c>
      <c r="P115" s="33">
        <v>375861</v>
      </c>
      <c r="Q115" s="33">
        <v>167.05</v>
      </c>
    </row>
    <row r="116" spans="1:17">
      <c r="A116" s="12" t="s">
        <v>18</v>
      </c>
      <c r="B116" s="13" t="s">
        <v>22</v>
      </c>
      <c r="C116" s="12" t="s">
        <v>16</v>
      </c>
      <c r="D116" s="18" t="s">
        <v>24</v>
      </c>
      <c r="E116" s="15" t="str">
        <f t="shared" si="18"/>
        <v>03050206</v>
      </c>
      <c r="F116" s="16" t="s">
        <v>1222</v>
      </c>
      <c r="G116" s="16" t="str">
        <f t="shared" si="22"/>
        <v>抽屉05螺纹刀片</v>
      </c>
      <c r="H116" t="str">
        <f t="shared" si="19"/>
        <v>行号02</v>
      </c>
      <c r="I116" s="16" t="str">
        <f t="shared" si="20"/>
        <v>序号06</v>
      </c>
      <c r="J116" s="49" t="s">
        <v>1305</v>
      </c>
      <c r="K116" s="39">
        <v>50</v>
      </c>
      <c r="L116" s="39">
        <v>50</v>
      </c>
      <c r="M116" s="39"/>
      <c r="N116" s="39"/>
      <c r="O116" s="23" t="s">
        <v>1237</v>
      </c>
      <c r="P116" s="33">
        <v>777694</v>
      </c>
      <c r="Q116" s="33">
        <v>167.05</v>
      </c>
    </row>
    <row r="117" spans="1:17">
      <c r="A117" s="12" t="s">
        <v>18</v>
      </c>
      <c r="B117" s="13" t="s">
        <v>22</v>
      </c>
      <c r="C117" s="12" t="s">
        <v>16</v>
      </c>
      <c r="D117" s="18" t="s">
        <v>26</v>
      </c>
      <c r="E117" s="15" t="str">
        <f t="shared" si="18"/>
        <v>03050207</v>
      </c>
      <c r="F117" s="16" t="s">
        <v>1222</v>
      </c>
      <c r="G117" s="16" t="str">
        <f t="shared" si="22"/>
        <v>抽屉05螺纹刀片</v>
      </c>
      <c r="H117" t="str">
        <f t="shared" si="19"/>
        <v>行号02</v>
      </c>
      <c r="I117" s="16" t="str">
        <f t="shared" si="20"/>
        <v>序号07</v>
      </c>
      <c r="J117" t="s">
        <v>1306</v>
      </c>
      <c r="K117" s="39">
        <v>10</v>
      </c>
      <c r="L117" s="39">
        <v>20</v>
      </c>
      <c r="M117" s="39"/>
      <c r="N117" s="39"/>
      <c r="O117" s="23" t="s">
        <v>1237</v>
      </c>
      <c r="P117" s="33">
        <v>423181</v>
      </c>
      <c r="Q117" s="33"/>
    </row>
    <row r="118" spans="1:17">
      <c r="A118" s="12" t="s">
        <v>18</v>
      </c>
      <c r="B118" s="13" t="s">
        <v>22</v>
      </c>
      <c r="C118" s="12" t="s">
        <v>16</v>
      </c>
      <c r="D118" s="18" t="s">
        <v>28</v>
      </c>
      <c r="E118" s="15" t="str">
        <f t="shared" si="18"/>
        <v>03050208</v>
      </c>
      <c r="F118" s="16" t="s">
        <v>1222</v>
      </c>
      <c r="G118" s="16" t="str">
        <f t="shared" si="22"/>
        <v>抽屉05螺纹刀片</v>
      </c>
      <c r="H118" t="str">
        <f t="shared" si="19"/>
        <v>行号02</v>
      </c>
      <c r="I118" s="16" t="str">
        <f t="shared" si="20"/>
        <v>序号08</v>
      </c>
      <c r="J118" s="38"/>
      <c r="K118" s="41"/>
      <c r="L118" s="41"/>
      <c r="M118" s="19">
        <v>0</v>
      </c>
      <c r="N118" s="41">
        <v>0</v>
      </c>
      <c r="P118" s="33"/>
      <c r="Q118" s="33"/>
    </row>
    <row r="119" spans="1:17">
      <c r="A119" s="12" t="s">
        <v>18</v>
      </c>
      <c r="B119" s="13" t="s">
        <v>22</v>
      </c>
      <c r="C119" s="14" t="s">
        <v>18</v>
      </c>
      <c r="D119" s="12" t="s">
        <v>14</v>
      </c>
      <c r="E119" s="15" t="str">
        <f t="shared" si="18"/>
        <v>03050301</v>
      </c>
      <c r="F119" s="16" t="s">
        <v>1222</v>
      </c>
      <c r="G119" s="16" t="str">
        <f t="shared" si="22"/>
        <v>抽屉05螺纹刀片</v>
      </c>
      <c r="H119" t="str">
        <f t="shared" si="19"/>
        <v>行号03</v>
      </c>
      <c r="I119" s="16" t="str">
        <f t="shared" si="20"/>
        <v>序号01</v>
      </c>
      <c r="J119" s="36" t="s">
        <v>1307</v>
      </c>
      <c r="K119" s="39">
        <v>10</v>
      </c>
      <c r="L119" s="39">
        <v>20</v>
      </c>
      <c r="M119" s="39"/>
      <c r="N119" s="39"/>
      <c r="O119" s="23" t="s">
        <v>1237</v>
      </c>
      <c r="P119" s="33">
        <v>423165</v>
      </c>
      <c r="Q119" s="33"/>
    </row>
    <row r="120" spans="1:17">
      <c r="A120" s="12" t="s">
        <v>18</v>
      </c>
      <c r="B120" s="13" t="s">
        <v>22</v>
      </c>
      <c r="C120" s="14" t="s">
        <v>18</v>
      </c>
      <c r="D120" s="12" t="s">
        <v>16</v>
      </c>
      <c r="E120" s="15" t="str">
        <f t="shared" si="18"/>
        <v>03050302</v>
      </c>
      <c r="F120" s="16" t="s">
        <v>1222</v>
      </c>
      <c r="G120" s="16" t="str">
        <f t="shared" si="22"/>
        <v>抽屉05螺纹刀片</v>
      </c>
      <c r="H120" t="str">
        <f t="shared" si="19"/>
        <v>行号03</v>
      </c>
      <c r="I120" s="16" t="str">
        <f t="shared" si="20"/>
        <v>序号02</v>
      </c>
      <c r="J120" s="36" t="s">
        <v>1206</v>
      </c>
      <c r="K120" s="39">
        <v>0</v>
      </c>
      <c r="L120" s="39">
        <v>15</v>
      </c>
      <c r="M120" s="39"/>
      <c r="N120" s="39"/>
      <c r="O120" s="23" t="s">
        <v>1237</v>
      </c>
      <c r="P120" s="33"/>
      <c r="Q120" s="33"/>
    </row>
    <row r="121" spans="1:17">
      <c r="A121" s="12" t="s">
        <v>18</v>
      </c>
      <c r="B121" s="13" t="s">
        <v>22</v>
      </c>
      <c r="C121" s="14" t="s">
        <v>18</v>
      </c>
      <c r="D121" s="12" t="s">
        <v>18</v>
      </c>
      <c r="E121" s="15" t="str">
        <f t="shared" si="18"/>
        <v>03050303</v>
      </c>
      <c r="F121" s="16" t="s">
        <v>1222</v>
      </c>
      <c r="G121" s="16" t="str">
        <f t="shared" si="22"/>
        <v>抽屉05螺纹刀片</v>
      </c>
      <c r="H121" t="str">
        <f t="shared" si="19"/>
        <v>行号03</v>
      </c>
      <c r="I121" s="16" t="str">
        <f t="shared" si="20"/>
        <v>序号03</v>
      </c>
      <c r="J121" s="36" t="s">
        <v>1207</v>
      </c>
      <c r="K121" s="39">
        <v>0</v>
      </c>
      <c r="L121" s="39">
        <v>10</v>
      </c>
      <c r="M121" s="39"/>
      <c r="N121" s="39"/>
      <c r="O121" s="23" t="s">
        <v>1248</v>
      </c>
      <c r="P121" s="33"/>
      <c r="Q121" s="33"/>
    </row>
    <row r="122" spans="1:17">
      <c r="A122" s="12" t="s">
        <v>18</v>
      </c>
      <c r="B122" s="13" t="s">
        <v>22</v>
      </c>
      <c r="C122" s="14" t="s">
        <v>18</v>
      </c>
      <c r="D122" s="12" t="s">
        <v>20</v>
      </c>
      <c r="E122" s="15" t="str">
        <f t="shared" si="18"/>
        <v>03050304</v>
      </c>
      <c r="F122" s="16" t="s">
        <v>1222</v>
      </c>
      <c r="G122" s="16" t="str">
        <f t="shared" si="22"/>
        <v>抽屉05螺纹刀片</v>
      </c>
      <c r="H122" t="str">
        <f t="shared" si="19"/>
        <v>行号03</v>
      </c>
      <c r="I122" s="16" t="str">
        <f t="shared" si="20"/>
        <v>序号04</v>
      </c>
      <c r="J122" s="36" t="s">
        <v>1208</v>
      </c>
      <c r="K122" s="39">
        <v>10</v>
      </c>
      <c r="L122" s="39">
        <v>20</v>
      </c>
      <c r="M122" s="39"/>
      <c r="N122" s="39"/>
      <c r="O122" s="23" t="s">
        <v>1237</v>
      </c>
      <c r="P122" s="33"/>
      <c r="Q122" s="33">
        <v>167.05</v>
      </c>
    </row>
    <row r="123" spans="1:17">
      <c r="A123" s="12">
        <v>22</v>
      </c>
      <c r="B123" s="13" t="s">
        <v>22</v>
      </c>
      <c r="C123" s="14" t="s">
        <v>18</v>
      </c>
      <c r="D123" s="12" t="s">
        <v>22</v>
      </c>
      <c r="E123" s="15" t="str">
        <f t="shared" si="18"/>
        <v>22050305</v>
      </c>
      <c r="F123" s="16" t="s">
        <v>1222</v>
      </c>
      <c r="G123" s="16" t="str">
        <f t="shared" si="22"/>
        <v>抽屉05螺纹刀片</v>
      </c>
      <c r="H123" t="str">
        <f t="shared" si="19"/>
        <v>行号03</v>
      </c>
      <c r="I123" s="16" t="str">
        <f t="shared" si="20"/>
        <v>序号05</v>
      </c>
      <c r="J123" t="s">
        <v>1209</v>
      </c>
      <c r="K123" s="39">
        <v>20</v>
      </c>
      <c r="L123" s="39">
        <v>20</v>
      </c>
      <c r="M123" s="39"/>
      <c r="N123" s="39"/>
      <c r="O123" s="23" t="s">
        <v>1237</v>
      </c>
      <c r="P123" s="33">
        <v>985204</v>
      </c>
      <c r="Q123" s="33">
        <v>184.6</v>
      </c>
    </row>
    <row r="124" spans="1:17">
      <c r="A124" s="12" t="s">
        <v>18</v>
      </c>
      <c r="B124" s="13" t="s">
        <v>22</v>
      </c>
      <c r="C124" s="14" t="s">
        <v>18</v>
      </c>
      <c r="D124" s="12" t="s">
        <v>24</v>
      </c>
      <c r="E124" s="15" t="str">
        <f t="shared" si="18"/>
        <v>03050306</v>
      </c>
      <c r="F124" s="16" t="s">
        <v>1222</v>
      </c>
      <c r="G124" s="16" t="str">
        <f t="shared" si="22"/>
        <v>抽屉05螺纹刀片</v>
      </c>
      <c r="H124" t="str">
        <f t="shared" si="19"/>
        <v>行号03</v>
      </c>
      <c r="I124" s="16" t="str">
        <f t="shared" si="20"/>
        <v>序号06</v>
      </c>
      <c r="J124" s="36" t="s">
        <v>1210</v>
      </c>
      <c r="K124" s="39">
        <v>20</v>
      </c>
      <c r="L124" s="39">
        <v>30</v>
      </c>
      <c r="M124" s="39"/>
      <c r="N124" s="39"/>
      <c r="O124" s="23" t="s">
        <v>1237</v>
      </c>
      <c r="P124" s="33">
        <v>753050</v>
      </c>
      <c r="Q124" s="33">
        <v>184.6</v>
      </c>
    </row>
    <row r="125" spans="1:17">
      <c r="A125" s="12" t="s">
        <v>18</v>
      </c>
      <c r="B125" s="13" t="s">
        <v>22</v>
      </c>
      <c r="C125" s="14" t="s">
        <v>18</v>
      </c>
      <c r="D125" s="12" t="s">
        <v>26</v>
      </c>
      <c r="E125" s="15" t="str">
        <f t="shared" si="18"/>
        <v>03050307</v>
      </c>
      <c r="F125" s="16" t="s">
        <v>1222</v>
      </c>
      <c r="G125" s="16" t="str">
        <f t="shared" si="22"/>
        <v>抽屉05螺纹刀片</v>
      </c>
      <c r="H125" t="str">
        <f t="shared" si="19"/>
        <v>行号03</v>
      </c>
      <c r="I125" s="16" t="str">
        <f t="shared" si="20"/>
        <v>序号07</v>
      </c>
      <c r="J125" s="36" t="s">
        <v>1211</v>
      </c>
      <c r="K125" s="39">
        <v>20</v>
      </c>
      <c r="L125" s="39">
        <v>30</v>
      </c>
      <c r="M125" s="39"/>
      <c r="N125" s="39"/>
      <c r="O125" s="23" t="s">
        <v>1237</v>
      </c>
      <c r="P125" s="33">
        <v>985212</v>
      </c>
      <c r="Q125" s="33">
        <v>184.6</v>
      </c>
    </row>
    <row r="126" spans="1:17">
      <c r="A126" s="12" t="s">
        <v>18</v>
      </c>
      <c r="B126" s="13" t="s">
        <v>22</v>
      </c>
      <c r="C126" s="14" t="s">
        <v>18</v>
      </c>
      <c r="D126" s="12" t="s">
        <v>28</v>
      </c>
      <c r="E126" s="15" t="str">
        <f t="shared" si="18"/>
        <v>03050308</v>
      </c>
      <c r="F126" s="16" t="s">
        <v>1222</v>
      </c>
      <c r="G126" s="16" t="str">
        <f t="shared" si="22"/>
        <v>抽屉05螺纹刀片</v>
      </c>
      <c r="H126" t="str">
        <f t="shared" si="19"/>
        <v>行号03</v>
      </c>
      <c r="I126" s="16" t="str">
        <f t="shared" si="20"/>
        <v>序号08</v>
      </c>
      <c r="J126" s="36" t="s">
        <v>1212</v>
      </c>
      <c r="K126" s="39">
        <v>20</v>
      </c>
      <c r="L126" s="39">
        <v>30</v>
      </c>
      <c r="M126" s="39"/>
      <c r="N126" s="39"/>
      <c r="O126" s="23" t="s">
        <v>1237</v>
      </c>
      <c r="P126" s="33"/>
      <c r="Q126" s="33">
        <v>184.6</v>
      </c>
    </row>
    <row r="127" spans="1:17">
      <c r="A127" s="12" t="s">
        <v>18</v>
      </c>
      <c r="B127" s="13" t="s">
        <v>22</v>
      </c>
      <c r="C127" s="12" t="s">
        <v>20</v>
      </c>
      <c r="D127" s="18" t="s">
        <v>14</v>
      </c>
      <c r="E127" s="15" t="str">
        <f t="shared" si="18"/>
        <v>03050401</v>
      </c>
      <c r="F127" s="16" t="s">
        <v>1222</v>
      </c>
      <c r="G127" s="16" t="str">
        <f t="shared" si="22"/>
        <v>抽屉05螺纹刀片</v>
      </c>
      <c r="H127" t="str">
        <f t="shared" si="19"/>
        <v>行号04</v>
      </c>
      <c r="I127" s="16" t="str">
        <f t="shared" si="20"/>
        <v>序号01</v>
      </c>
      <c r="J127" s="38"/>
      <c r="K127" s="41"/>
      <c r="L127" s="41"/>
      <c r="M127" s="19">
        <v>0</v>
      </c>
      <c r="N127" s="41">
        <v>0</v>
      </c>
      <c r="P127" s="33"/>
      <c r="Q127" s="33"/>
    </row>
    <row r="128" spans="1:17">
      <c r="A128" s="12" t="s">
        <v>18</v>
      </c>
      <c r="B128" s="13" t="s">
        <v>22</v>
      </c>
      <c r="C128" s="12" t="s">
        <v>20</v>
      </c>
      <c r="D128" s="18" t="s">
        <v>16</v>
      </c>
      <c r="E128" s="15" t="str">
        <f t="shared" si="18"/>
        <v>03050402</v>
      </c>
      <c r="F128" s="16" t="s">
        <v>1222</v>
      </c>
      <c r="G128" s="16" t="str">
        <f t="shared" si="22"/>
        <v>抽屉05螺纹刀片</v>
      </c>
      <c r="H128" t="str">
        <f t="shared" si="19"/>
        <v>行号04</v>
      </c>
      <c r="I128" s="16" t="str">
        <f t="shared" si="20"/>
        <v>序号02</v>
      </c>
      <c r="J128" s="24"/>
      <c r="K128" s="41"/>
      <c r="L128" s="41"/>
      <c r="M128" s="19">
        <v>0</v>
      </c>
      <c r="N128" s="41">
        <v>0</v>
      </c>
      <c r="P128" s="33"/>
      <c r="Q128" s="33"/>
    </row>
    <row r="129" spans="1:17">
      <c r="A129" s="12" t="s">
        <v>18</v>
      </c>
      <c r="B129" s="13" t="s">
        <v>22</v>
      </c>
      <c r="C129" s="12" t="s">
        <v>20</v>
      </c>
      <c r="D129" s="18" t="s">
        <v>18</v>
      </c>
      <c r="E129" s="15" t="str">
        <f t="shared" si="18"/>
        <v>03050403</v>
      </c>
      <c r="F129" s="16" t="s">
        <v>1222</v>
      </c>
      <c r="G129" s="16" t="str">
        <f t="shared" si="22"/>
        <v>抽屉05螺纹刀片</v>
      </c>
      <c r="H129" t="str">
        <f t="shared" si="19"/>
        <v>行号04</v>
      </c>
      <c r="I129" s="16" t="str">
        <f t="shared" si="20"/>
        <v>序号03</v>
      </c>
      <c r="J129" s="38"/>
      <c r="K129" s="41"/>
      <c r="L129" s="41"/>
      <c r="M129" s="19">
        <v>0</v>
      </c>
      <c r="N129" s="41">
        <v>0</v>
      </c>
      <c r="P129" s="33"/>
      <c r="Q129" s="33"/>
    </row>
    <row r="130" spans="1:17">
      <c r="A130" s="12" t="s">
        <v>18</v>
      </c>
      <c r="B130" s="13" t="s">
        <v>22</v>
      </c>
      <c r="C130" s="12" t="s">
        <v>20</v>
      </c>
      <c r="D130" s="18" t="s">
        <v>20</v>
      </c>
      <c r="E130" s="15" t="str">
        <f t="shared" si="18"/>
        <v>03050404</v>
      </c>
      <c r="F130" s="16" t="s">
        <v>1222</v>
      </c>
      <c r="G130" s="16" t="str">
        <f t="shared" si="22"/>
        <v>抽屉05螺纹刀片</v>
      </c>
      <c r="H130" t="str">
        <f t="shared" si="19"/>
        <v>行号04</v>
      </c>
      <c r="I130" s="16" t="str">
        <f t="shared" si="20"/>
        <v>序号04</v>
      </c>
      <c r="J130" s="38"/>
      <c r="K130" s="41"/>
      <c r="L130" s="41"/>
      <c r="M130" s="19">
        <v>0</v>
      </c>
      <c r="N130" s="41">
        <v>0</v>
      </c>
      <c r="P130" s="33"/>
      <c r="Q130" s="33"/>
    </row>
    <row r="131" spans="1:17">
      <c r="A131" s="12" t="s">
        <v>18</v>
      </c>
      <c r="B131" s="13" t="s">
        <v>22</v>
      </c>
      <c r="C131" s="12" t="s">
        <v>20</v>
      </c>
      <c r="D131" s="18" t="s">
        <v>22</v>
      </c>
      <c r="E131" s="15" t="str">
        <f t="shared" si="18"/>
        <v>03050405</v>
      </c>
      <c r="F131" s="16" t="s">
        <v>1222</v>
      </c>
      <c r="G131" s="16" t="str">
        <f t="shared" si="22"/>
        <v>抽屉05螺纹刀片</v>
      </c>
      <c r="H131" t="str">
        <f t="shared" si="19"/>
        <v>行号04</v>
      </c>
      <c r="I131" s="16" t="str">
        <f t="shared" si="20"/>
        <v>序号05</v>
      </c>
      <c r="J131" s="24"/>
      <c r="K131" s="41"/>
      <c r="L131" s="41"/>
      <c r="M131" s="19">
        <v>0</v>
      </c>
      <c r="N131" s="41">
        <v>0</v>
      </c>
      <c r="P131" s="33"/>
      <c r="Q131" s="33"/>
    </row>
    <row r="132" spans="1:17">
      <c r="A132" s="12" t="s">
        <v>18</v>
      </c>
      <c r="B132" s="13" t="s">
        <v>22</v>
      </c>
      <c r="C132" s="12" t="s">
        <v>20</v>
      </c>
      <c r="D132" s="18" t="s">
        <v>24</v>
      </c>
      <c r="E132" s="15" t="str">
        <f t="shared" si="18"/>
        <v>03050406</v>
      </c>
      <c r="F132" s="16" t="s">
        <v>1222</v>
      </c>
      <c r="G132" s="16" t="str">
        <f t="shared" si="22"/>
        <v>抽屉05螺纹刀片</v>
      </c>
      <c r="H132" t="str">
        <f t="shared" si="19"/>
        <v>行号04</v>
      </c>
      <c r="I132" s="16" t="str">
        <f t="shared" si="20"/>
        <v>序号06</v>
      </c>
      <c r="J132" s="24"/>
      <c r="K132" s="41"/>
      <c r="L132" s="41"/>
      <c r="M132" s="19">
        <v>0</v>
      </c>
      <c r="N132" s="41">
        <v>0</v>
      </c>
      <c r="P132" s="33"/>
      <c r="Q132" s="33"/>
    </row>
    <row r="133" spans="1:17">
      <c r="A133" s="12" t="s">
        <v>18</v>
      </c>
      <c r="B133" s="13" t="s">
        <v>22</v>
      </c>
      <c r="C133" s="12" t="s">
        <v>20</v>
      </c>
      <c r="D133" s="18" t="s">
        <v>26</v>
      </c>
      <c r="E133" s="15" t="str">
        <f t="shared" ref="E133:E196" si="23">A133&amp;B133&amp;C133&amp;D133</f>
        <v>03050407</v>
      </c>
      <c r="F133" s="16" t="s">
        <v>1222</v>
      </c>
      <c r="G133" s="16" t="str">
        <f t="shared" si="22"/>
        <v>抽屉05螺纹刀片</v>
      </c>
      <c r="H133" t="str">
        <f t="shared" ref="H133:H196" si="24">"行号"&amp;C133</f>
        <v>行号04</v>
      </c>
      <c r="I133" s="16" t="str">
        <f t="shared" ref="I133:I196" si="25">"序号"&amp;D133</f>
        <v>序号07</v>
      </c>
      <c r="J133" s="38"/>
      <c r="K133" s="41"/>
      <c r="L133" s="41"/>
      <c r="M133" s="19">
        <v>0</v>
      </c>
      <c r="N133" s="41">
        <v>0</v>
      </c>
      <c r="P133" s="33"/>
      <c r="Q133" s="33"/>
    </row>
    <row r="134" spans="1:17">
      <c r="A134" s="12" t="s">
        <v>18</v>
      </c>
      <c r="B134" s="13" t="s">
        <v>22</v>
      </c>
      <c r="C134" s="12" t="s">
        <v>20</v>
      </c>
      <c r="D134" s="18" t="s">
        <v>28</v>
      </c>
      <c r="E134" s="15" t="str">
        <f t="shared" si="23"/>
        <v>03050408</v>
      </c>
      <c r="F134" s="16" t="s">
        <v>1222</v>
      </c>
      <c r="G134" s="16" t="str">
        <f t="shared" si="22"/>
        <v>抽屉05螺纹刀片</v>
      </c>
      <c r="H134" t="str">
        <f t="shared" si="24"/>
        <v>行号04</v>
      </c>
      <c r="I134" s="16" t="str">
        <f t="shared" si="25"/>
        <v>序号08</v>
      </c>
      <c r="J134" s="38"/>
      <c r="K134" s="41"/>
      <c r="L134" s="41"/>
      <c r="M134" s="19">
        <v>0</v>
      </c>
      <c r="N134" s="41">
        <v>0</v>
      </c>
      <c r="P134" s="33"/>
      <c r="Q134" s="33"/>
    </row>
    <row r="135" spans="1:17">
      <c r="A135" s="12" t="s">
        <v>18</v>
      </c>
      <c r="B135" s="12" t="s">
        <v>24</v>
      </c>
      <c r="C135" s="14" t="s">
        <v>14</v>
      </c>
      <c r="D135" s="12" t="s">
        <v>14</v>
      </c>
      <c r="E135" s="15" t="str">
        <f t="shared" si="23"/>
        <v>03060101</v>
      </c>
      <c r="F135" s="16" t="s">
        <v>1222</v>
      </c>
      <c r="G135" s="16" t="str">
        <f>"抽屉"&amp;B135&amp;"U钻刀片"</f>
        <v>抽屉06U钻刀片</v>
      </c>
      <c r="H135" t="str">
        <f t="shared" si="24"/>
        <v>行号01</v>
      </c>
      <c r="I135" s="16" t="str">
        <f t="shared" si="25"/>
        <v>序号01</v>
      </c>
      <c r="J135" s="36" t="s">
        <v>1213</v>
      </c>
      <c r="K135" s="39">
        <v>5</v>
      </c>
      <c r="L135" s="39">
        <v>10</v>
      </c>
      <c r="M135" s="39"/>
      <c r="N135" s="39"/>
      <c r="O135" s="23" t="s">
        <v>1237</v>
      </c>
      <c r="P135" s="33"/>
      <c r="Q135" s="33"/>
    </row>
    <row r="136" spans="1:17">
      <c r="A136" s="12" t="s">
        <v>18</v>
      </c>
      <c r="B136" s="12" t="s">
        <v>24</v>
      </c>
      <c r="C136" s="14" t="s">
        <v>14</v>
      </c>
      <c r="D136" s="12" t="s">
        <v>16</v>
      </c>
      <c r="E136" s="15" t="str">
        <f t="shared" si="23"/>
        <v>03060102</v>
      </c>
      <c r="F136" s="16" t="s">
        <v>1222</v>
      </c>
      <c r="G136" s="16" t="str">
        <f t="shared" ref="G136:G165" si="26">"抽屉"&amp;B136&amp;"U钻刀片"</f>
        <v>抽屉06U钻刀片</v>
      </c>
      <c r="H136" t="str">
        <f t="shared" si="24"/>
        <v>行号01</v>
      </c>
      <c r="I136" s="16" t="str">
        <f t="shared" si="25"/>
        <v>序号02</v>
      </c>
      <c r="J136" s="36" t="s">
        <v>1214</v>
      </c>
      <c r="K136" s="39">
        <v>5</v>
      </c>
      <c r="L136" s="39">
        <v>10</v>
      </c>
      <c r="M136" s="39"/>
      <c r="N136" s="39"/>
      <c r="O136" s="23" t="s">
        <v>1237</v>
      </c>
      <c r="P136" s="33"/>
      <c r="Q136" s="33"/>
    </row>
    <row r="137" spans="1:17">
      <c r="A137" s="12" t="s">
        <v>18</v>
      </c>
      <c r="B137" s="12" t="s">
        <v>24</v>
      </c>
      <c r="C137" s="14" t="s">
        <v>14</v>
      </c>
      <c r="D137" s="12" t="s">
        <v>18</v>
      </c>
      <c r="E137" s="15" t="str">
        <f t="shared" si="23"/>
        <v>03060103</v>
      </c>
      <c r="F137" s="16" t="s">
        <v>1222</v>
      </c>
      <c r="G137" s="16" t="str">
        <f t="shared" si="26"/>
        <v>抽屉06U钻刀片</v>
      </c>
      <c r="H137" t="str">
        <f t="shared" si="24"/>
        <v>行号01</v>
      </c>
      <c r="I137" s="16" t="str">
        <f t="shared" si="25"/>
        <v>序号03</v>
      </c>
      <c r="J137" t="s">
        <v>1215</v>
      </c>
      <c r="K137" s="39">
        <v>20</v>
      </c>
      <c r="L137" s="39">
        <v>30</v>
      </c>
      <c r="M137" s="39"/>
      <c r="N137" s="39"/>
      <c r="O137" s="23" t="s">
        <v>1237</v>
      </c>
      <c r="P137" s="33"/>
      <c r="Q137" s="33"/>
    </row>
    <row r="138" spans="1:17">
      <c r="A138" s="12" t="s">
        <v>18</v>
      </c>
      <c r="B138" s="12" t="s">
        <v>24</v>
      </c>
      <c r="C138" s="14" t="s">
        <v>14</v>
      </c>
      <c r="D138" s="12" t="s">
        <v>20</v>
      </c>
      <c r="E138" s="15" t="str">
        <f t="shared" si="23"/>
        <v>03060104</v>
      </c>
      <c r="F138" s="16" t="s">
        <v>1222</v>
      </c>
      <c r="G138" s="16" t="str">
        <f t="shared" si="26"/>
        <v>抽屉06U钻刀片</v>
      </c>
      <c r="H138" t="str">
        <f t="shared" si="24"/>
        <v>行号01</v>
      </c>
      <c r="I138" s="16" t="str">
        <f t="shared" si="25"/>
        <v>序号04</v>
      </c>
      <c r="J138" s="36" t="s">
        <v>279</v>
      </c>
      <c r="K138" s="39">
        <v>20</v>
      </c>
      <c r="L138" s="39">
        <v>30</v>
      </c>
      <c r="M138" s="39"/>
      <c r="N138" s="39"/>
      <c r="O138" s="23" t="s">
        <v>1237</v>
      </c>
      <c r="P138" s="33"/>
      <c r="Q138" s="33">
        <v>96.6</v>
      </c>
    </row>
    <row r="139" spans="1:17">
      <c r="A139" s="12" t="s">
        <v>18</v>
      </c>
      <c r="B139" s="12" t="s">
        <v>24</v>
      </c>
      <c r="C139" s="14" t="s">
        <v>14</v>
      </c>
      <c r="D139" s="12" t="s">
        <v>24</v>
      </c>
      <c r="E139" s="15" t="str">
        <f t="shared" si="23"/>
        <v>03060106</v>
      </c>
      <c r="F139" s="16" t="s">
        <v>1222</v>
      </c>
      <c r="G139" s="16" t="str">
        <f t="shared" si="26"/>
        <v>抽屉06U钻刀片</v>
      </c>
      <c r="H139" t="str">
        <f t="shared" si="24"/>
        <v>行号01</v>
      </c>
      <c r="I139" s="16" t="str">
        <f t="shared" si="25"/>
        <v>序号06</v>
      </c>
      <c r="J139" s="38"/>
      <c r="K139" s="41"/>
      <c r="L139" s="41"/>
      <c r="M139" s="19">
        <v>0</v>
      </c>
      <c r="N139" s="41">
        <v>0</v>
      </c>
      <c r="P139" s="33"/>
      <c r="Q139" s="33"/>
    </row>
    <row r="140" spans="1:17">
      <c r="A140" s="12" t="s">
        <v>18</v>
      </c>
      <c r="B140" s="12" t="s">
        <v>24</v>
      </c>
      <c r="C140" s="14" t="s">
        <v>14</v>
      </c>
      <c r="D140" s="12" t="s">
        <v>26</v>
      </c>
      <c r="E140" s="15" t="str">
        <f t="shared" si="23"/>
        <v>03060107</v>
      </c>
      <c r="F140" s="16" t="s">
        <v>1222</v>
      </c>
      <c r="G140" s="16" t="str">
        <f t="shared" si="26"/>
        <v>抽屉06U钻刀片</v>
      </c>
      <c r="H140" t="str">
        <f t="shared" si="24"/>
        <v>行号01</v>
      </c>
      <c r="I140" s="16" t="str">
        <f t="shared" si="25"/>
        <v>序号07</v>
      </c>
      <c r="J140" s="38"/>
      <c r="K140" s="41"/>
      <c r="L140" s="41"/>
      <c r="M140" s="19">
        <v>0</v>
      </c>
      <c r="N140" s="41">
        <v>0</v>
      </c>
      <c r="P140" s="33"/>
      <c r="Q140" s="33"/>
    </row>
    <row r="141" spans="1:17">
      <c r="A141" s="12" t="s">
        <v>18</v>
      </c>
      <c r="B141" s="12" t="s">
        <v>24</v>
      </c>
      <c r="C141" s="14" t="s">
        <v>14</v>
      </c>
      <c r="D141" s="12" t="s">
        <v>28</v>
      </c>
      <c r="E141" s="15" t="str">
        <f t="shared" si="23"/>
        <v>03060108</v>
      </c>
      <c r="F141" s="16" t="s">
        <v>1222</v>
      </c>
      <c r="G141" s="16" t="str">
        <f t="shared" si="26"/>
        <v>抽屉06U钻刀片</v>
      </c>
      <c r="H141" t="str">
        <f t="shared" si="24"/>
        <v>行号01</v>
      </c>
      <c r="I141" s="16" t="str">
        <f t="shared" si="25"/>
        <v>序号08</v>
      </c>
      <c r="J141" s="38"/>
      <c r="K141" s="41"/>
      <c r="L141" s="41"/>
      <c r="M141" s="19">
        <v>0</v>
      </c>
      <c r="N141" s="41">
        <v>0</v>
      </c>
      <c r="P141" s="33"/>
      <c r="Q141" s="33"/>
    </row>
    <row r="142" spans="1:17">
      <c r="A142" s="12" t="s">
        <v>18</v>
      </c>
      <c r="B142" s="12" t="s">
        <v>24</v>
      </c>
      <c r="C142" s="12" t="s">
        <v>16</v>
      </c>
      <c r="D142" s="18" t="s">
        <v>14</v>
      </c>
      <c r="E142" s="15" t="str">
        <f t="shared" si="23"/>
        <v>03060201</v>
      </c>
      <c r="F142" s="16" t="s">
        <v>1222</v>
      </c>
      <c r="G142" s="16" t="str">
        <f t="shared" si="26"/>
        <v>抽屉06U钻刀片</v>
      </c>
      <c r="H142" t="str">
        <f t="shared" si="24"/>
        <v>行号02</v>
      </c>
      <c r="I142" s="16" t="str">
        <f t="shared" si="25"/>
        <v>序号01</v>
      </c>
      <c r="J142" s="36" t="s">
        <v>281</v>
      </c>
      <c r="K142" s="39">
        <v>20</v>
      </c>
      <c r="L142" s="39">
        <v>30</v>
      </c>
      <c r="M142" s="39"/>
      <c r="N142" s="39"/>
      <c r="O142" s="23" t="s">
        <v>1237</v>
      </c>
      <c r="P142" s="33">
        <v>987485</v>
      </c>
      <c r="Q142" s="33">
        <v>108.5</v>
      </c>
    </row>
    <row r="143" spans="1:17">
      <c r="A143" s="12" t="s">
        <v>18</v>
      </c>
      <c r="B143" s="12" t="s">
        <v>24</v>
      </c>
      <c r="C143" s="12" t="s">
        <v>16</v>
      </c>
      <c r="D143" s="18" t="s">
        <v>16</v>
      </c>
      <c r="E143" s="15" t="str">
        <f t="shared" si="23"/>
        <v>03060202</v>
      </c>
      <c r="F143" s="16" t="s">
        <v>1222</v>
      </c>
      <c r="G143" s="16" t="str">
        <f t="shared" si="26"/>
        <v>抽屉06U钻刀片</v>
      </c>
      <c r="H143" t="str">
        <f t="shared" si="24"/>
        <v>行号02</v>
      </c>
      <c r="I143" s="16" t="str">
        <f t="shared" si="25"/>
        <v>序号02</v>
      </c>
      <c r="J143" s="36" t="s">
        <v>282</v>
      </c>
      <c r="K143" s="39">
        <v>20</v>
      </c>
      <c r="L143" s="39">
        <v>30</v>
      </c>
      <c r="M143" s="39"/>
      <c r="N143" s="39"/>
      <c r="O143" s="23" t="s">
        <v>1237</v>
      </c>
      <c r="P143" s="33">
        <v>987487</v>
      </c>
      <c r="Q143" s="33">
        <v>108.5</v>
      </c>
    </row>
    <row r="144" spans="1:17">
      <c r="A144" s="12" t="s">
        <v>18</v>
      </c>
      <c r="B144" s="12" t="s">
        <v>24</v>
      </c>
      <c r="C144" s="12" t="s">
        <v>16</v>
      </c>
      <c r="D144" s="18" t="s">
        <v>18</v>
      </c>
      <c r="E144" s="15" t="str">
        <f t="shared" si="23"/>
        <v>03060203</v>
      </c>
      <c r="F144" s="16" t="s">
        <v>1222</v>
      </c>
      <c r="G144" s="16" t="str">
        <f t="shared" si="26"/>
        <v>抽屉06U钻刀片</v>
      </c>
      <c r="H144" t="str">
        <f t="shared" si="24"/>
        <v>行号02</v>
      </c>
      <c r="I144" s="16" t="str">
        <f t="shared" si="25"/>
        <v>序号03</v>
      </c>
      <c r="J144" s="36" t="s">
        <v>283</v>
      </c>
      <c r="K144" s="39">
        <v>20</v>
      </c>
      <c r="L144" s="39">
        <v>30</v>
      </c>
      <c r="M144" s="39"/>
      <c r="N144" s="39"/>
      <c r="O144" s="23" t="s">
        <v>1237</v>
      </c>
      <c r="P144" s="33">
        <v>996694</v>
      </c>
      <c r="Q144" s="33">
        <v>108.5</v>
      </c>
    </row>
    <row r="145" spans="1:17">
      <c r="A145" s="12" t="s">
        <v>18</v>
      </c>
      <c r="B145" s="12" t="s">
        <v>24</v>
      </c>
      <c r="C145" s="12" t="s">
        <v>16</v>
      </c>
      <c r="D145" s="18" t="s">
        <v>20</v>
      </c>
      <c r="E145" s="15" t="str">
        <f t="shared" si="23"/>
        <v>03060204</v>
      </c>
      <c r="F145" s="16" t="s">
        <v>1222</v>
      </c>
      <c r="G145" s="16" t="str">
        <f t="shared" si="26"/>
        <v>抽屉06U钻刀片</v>
      </c>
      <c r="H145" t="str">
        <f t="shared" si="24"/>
        <v>行号02</v>
      </c>
      <c r="I145" s="16" t="str">
        <f t="shared" si="25"/>
        <v>序号04</v>
      </c>
      <c r="J145" s="36" t="s">
        <v>284</v>
      </c>
      <c r="K145" s="39">
        <v>20</v>
      </c>
      <c r="L145" s="39">
        <v>30</v>
      </c>
      <c r="M145" s="39"/>
      <c r="N145" s="39"/>
      <c r="O145" s="23" t="s">
        <v>1237</v>
      </c>
      <c r="P145" s="33">
        <v>996696</v>
      </c>
      <c r="Q145" s="33">
        <v>108.5</v>
      </c>
    </row>
    <row r="146" spans="1:17">
      <c r="A146" s="12" t="s">
        <v>18</v>
      </c>
      <c r="B146" s="12" t="s">
        <v>24</v>
      </c>
      <c r="C146" s="12" t="s">
        <v>16</v>
      </c>
      <c r="D146" s="18" t="s">
        <v>22</v>
      </c>
      <c r="E146" s="15" t="str">
        <f t="shared" si="23"/>
        <v>03060205</v>
      </c>
      <c r="F146" s="16" t="s">
        <v>1222</v>
      </c>
      <c r="G146" s="16" t="str">
        <f t="shared" si="26"/>
        <v>抽屉06U钻刀片</v>
      </c>
      <c r="H146" t="str">
        <f t="shared" si="24"/>
        <v>行号02</v>
      </c>
      <c r="I146" s="16" t="str">
        <f t="shared" si="25"/>
        <v>序号05</v>
      </c>
      <c r="J146" s="36" t="s">
        <v>285</v>
      </c>
      <c r="K146" s="39">
        <v>20</v>
      </c>
      <c r="L146" s="39">
        <v>30</v>
      </c>
      <c r="M146" s="39"/>
      <c r="N146" s="39"/>
      <c r="O146" s="23" t="s">
        <v>1237</v>
      </c>
      <c r="P146" s="33">
        <v>987488</v>
      </c>
      <c r="Q146" s="33">
        <v>108.5</v>
      </c>
    </row>
    <row r="147" spans="1:17">
      <c r="A147" s="12" t="s">
        <v>18</v>
      </c>
      <c r="B147" s="12" t="s">
        <v>24</v>
      </c>
      <c r="C147" s="12" t="s">
        <v>16</v>
      </c>
      <c r="D147" s="18" t="s">
        <v>24</v>
      </c>
      <c r="E147" s="15" t="str">
        <f t="shared" si="23"/>
        <v>03060206</v>
      </c>
      <c r="F147" s="16" t="s">
        <v>1222</v>
      </c>
      <c r="G147" s="16" t="str">
        <f t="shared" si="26"/>
        <v>抽屉06U钻刀片</v>
      </c>
      <c r="H147" t="str">
        <f t="shared" si="24"/>
        <v>行号02</v>
      </c>
      <c r="I147" s="16" t="str">
        <f t="shared" si="25"/>
        <v>序号06</v>
      </c>
      <c r="J147" s="36" t="s">
        <v>286</v>
      </c>
      <c r="K147" s="39">
        <v>20</v>
      </c>
      <c r="L147" s="39">
        <v>30</v>
      </c>
      <c r="M147" s="39"/>
      <c r="N147" s="39"/>
      <c r="O147" s="23" t="s">
        <v>1237</v>
      </c>
      <c r="P147" s="33">
        <v>987490</v>
      </c>
      <c r="Q147" s="33">
        <v>120.4</v>
      </c>
    </row>
    <row r="148" spans="1:17">
      <c r="A148" s="12" t="s">
        <v>18</v>
      </c>
      <c r="B148" s="12" t="s">
        <v>24</v>
      </c>
      <c r="C148" s="12" t="s">
        <v>16</v>
      </c>
      <c r="D148" s="18" t="s">
        <v>26</v>
      </c>
      <c r="E148" s="15" t="str">
        <f t="shared" si="23"/>
        <v>03060207</v>
      </c>
      <c r="F148" s="16" t="s">
        <v>1222</v>
      </c>
      <c r="G148" s="16" t="str">
        <f t="shared" si="26"/>
        <v>抽屉06U钻刀片</v>
      </c>
      <c r="H148" t="str">
        <f t="shared" si="24"/>
        <v>行号02</v>
      </c>
      <c r="I148" s="16" t="str">
        <f t="shared" si="25"/>
        <v>序号07</v>
      </c>
      <c r="J148" s="24"/>
      <c r="K148" s="41"/>
      <c r="L148" s="41"/>
      <c r="M148" s="19">
        <v>0</v>
      </c>
      <c r="N148" s="41">
        <v>0</v>
      </c>
      <c r="P148" s="33"/>
      <c r="Q148" s="33"/>
    </row>
    <row r="149" spans="1:17">
      <c r="A149" s="12" t="s">
        <v>18</v>
      </c>
      <c r="B149" s="12" t="s">
        <v>24</v>
      </c>
      <c r="C149" s="12" t="s">
        <v>16</v>
      </c>
      <c r="D149" s="18" t="s">
        <v>28</v>
      </c>
      <c r="E149" s="15" t="str">
        <f t="shared" si="23"/>
        <v>03060208</v>
      </c>
      <c r="F149" s="16" t="s">
        <v>1222</v>
      </c>
      <c r="G149" s="16" t="str">
        <f t="shared" si="26"/>
        <v>抽屉06U钻刀片</v>
      </c>
      <c r="H149" t="str">
        <f t="shared" si="24"/>
        <v>行号02</v>
      </c>
      <c r="I149" s="16" t="str">
        <f t="shared" si="25"/>
        <v>序号08</v>
      </c>
      <c r="J149" s="38"/>
      <c r="K149" s="41"/>
      <c r="L149" s="41"/>
      <c r="M149" s="19">
        <v>0</v>
      </c>
      <c r="N149" s="41">
        <v>0</v>
      </c>
      <c r="P149" s="33"/>
      <c r="Q149" s="33"/>
    </row>
    <row r="150" spans="1:17">
      <c r="A150" s="12" t="s">
        <v>18</v>
      </c>
      <c r="B150" s="12" t="s">
        <v>24</v>
      </c>
      <c r="C150" s="14" t="s">
        <v>18</v>
      </c>
      <c r="D150" s="12" t="s">
        <v>14</v>
      </c>
      <c r="E150" s="15" t="str">
        <f t="shared" si="23"/>
        <v>03060301</v>
      </c>
      <c r="F150" s="16" t="s">
        <v>1222</v>
      </c>
      <c r="G150" s="16" t="str">
        <f t="shared" si="26"/>
        <v>抽屉06U钻刀片</v>
      </c>
      <c r="H150" t="str">
        <f t="shared" si="24"/>
        <v>行号03</v>
      </c>
      <c r="I150" s="16" t="str">
        <f t="shared" si="25"/>
        <v>序号01</v>
      </c>
      <c r="J150" s="36" t="s">
        <v>1282</v>
      </c>
      <c r="K150" s="39">
        <v>20</v>
      </c>
      <c r="L150" s="39">
        <v>30</v>
      </c>
      <c r="M150" s="39"/>
      <c r="N150" s="39"/>
      <c r="O150" s="23" t="s">
        <v>1237</v>
      </c>
      <c r="P150" s="33">
        <v>971069</v>
      </c>
      <c r="Q150" s="33"/>
    </row>
    <row r="151" spans="1:17">
      <c r="A151" s="12" t="s">
        <v>18</v>
      </c>
      <c r="B151" s="12" t="s">
        <v>24</v>
      </c>
      <c r="C151" s="14" t="s">
        <v>18</v>
      </c>
      <c r="D151" s="12" t="s">
        <v>16</v>
      </c>
      <c r="E151" s="15" t="str">
        <f t="shared" si="23"/>
        <v>03060302</v>
      </c>
      <c r="F151" s="16" t="s">
        <v>1222</v>
      </c>
      <c r="G151" s="16" t="str">
        <f t="shared" si="26"/>
        <v>抽屉06U钻刀片</v>
      </c>
      <c r="H151" t="str">
        <f t="shared" si="24"/>
        <v>行号03</v>
      </c>
      <c r="I151" s="16" t="str">
        <f t="shared" si="25"/>
        <v>序号02</v>
      </c>
      <c r="J151" s="36" t="s">
        <v>287</v>
      </c>
      <c r="K151" s="39">
        <v>20</v>
      </c>
      <c r="L151" s="39">
        <v>30</v>
      </c>
      <c r="M151" s="39"/>
      <c r="N151" s="39"/>
      <c r="O151" s="23" t="s">
        <v>1237</v>
      </c>
      <c r="P151" s="33">
        <v>971072</v>
      </c>
      <c r="Q151" s="33">
        <v>120.4</v>
      </c>
    </row>
    <row r="152" spans="1:17">
      <c r="A152" s="12" t="s">
        <v>18</v>
      </c>
      <c r="B152" s="12" t="s">
        <v>24</v>
      </c>
      <c r="C152" s="14" t="s">
        <v>18</v>
      </c>
      <c r="D152" s="12" t="s">
        <v>18</v>
      </c>
      <c r="E152" s="15" t="str">
        <f t="shared" si="23"/>
        <v>03060303</v>
      </c>
      <c r="F152" s="16" t="s">
        <v>1222</v>
      </c>
      <c r="G152" s="16" t="str">
        <f t="shared" si="26"/>
        <v>抽屉06U钻刀片</v>
      </c>
      <c r="H152" t="str">
        <f t="shared" si="24"/>
        <v>行号03</v>
      </c>
      <c r="I152" s="16" t="str">
        <f t="shared" si="25"/>
        <v>序号03</v>
      </c>
      <c r="J152" s="36" t="s">
        <v>288</v>
      </c>
      <c r="K152" s="39">
        <v>10</v>
      </c>
      <c r="L152" s="39">
        <v>5</v>
      </c>
      <c r="M152" s="39"/>
      <c r="N152" s="39"/>
      <c r="O152" s="23" t="s">
        <v>1237</v>
      </c>
      <c r="P152" s="33">
        <v>969435</v>
      </c>
      <c r="Q152" s="33"/>
    </row>
    <row r="153" spans="1:17">
      <c r="A153" s="12" t="s">
        <v>18</v>
      </c>
      <c r="B153" s="12" t="s">
        <v>24</v>
      </c>
      <c r="C153" s="14" t="s">
        <v>18</v>
      </c>
      <c r="D153" s="12" t="s">
        <v>20</v>
      </c>
      <c r="E153" s="15" t="str">
        <f t="shared" si="23"/>
        <v>03060304</v>
      </c>
      <c r="F153" s="16" t="s">
        <v>1222</v>
      </c>
      <c r="G153" s="16" t="str">
        <f t="shared" si="26"/>
        <v>抽屉06U钻刀片</v>
      </c>
      <c r="H153" t="str">
        <f t="shared" si="24"/>
        <v>行号03</v>
      </c>
      <c r="I153" s="16" t="str">
        <f t="shared" si="25"/>
        <v>序号04</v>
      </c>
      <c r="J153" s="38"/>
      <c r="K153" s="41"/>
      <c r="L153" s="41"/>
      <c r="M153" s="19">
        <v>0</v>
      </c>
      <c r="N153" s="41">
        <v>0</v>
      </c>
      <c r="P153" s="33"/>
      <c r="Q153" s="33"/>
    </row>
    <row r="154" spans="1:17">
      <c r="A154" s="12" t="s">
        <v>18</v>
      </c>
      <c r="B154" s="12" t="s">
        <v>24</v>
      </c>
      <c r="C154" s="14" t="s">
        <v>18</v>
      </c>
      <c r="D154" s="12" t="s">
        <v>22</v>
      </c>
      <c r="E154" s="15" t="str">
        <f t="shared" si="23"/>
        <v>03060305</v>
      </c>
      <c r="F154" s="16" t="s">
        <v>1222</v>
      </c>
      <c r="G154" s="16" t="str">
        <f t="shared" si="26"/>
        <v>抽屉06U钻刀片</v>
      </c>
      <c r="H154" t="str">
        <f t="shared" si="24"/>
        <v>行号03</v>
      </c>
      <c r="I154" s="16" t="str">
        <f t="shared" si="25"/>
        <v>序号05</v>
      </c>
      <c r="J154" s="38"/>
      <c r="K154" s="41"/>
      <c r="L154" s="41"/>
      <c r="M154" s="19">
        <v>0</v>
      </c>
      <c r="N154" s="41">
        <v>0</v>
      </c>
      <c r="P154" s="33"/>
      <c r="Q154" s="33"/>
    </row>
    <row r="155" spans="1:17">
      <c r="A155" s="12" t="s">
        <v>18</v>
      </c>
      <c r="B155" s="12" t="s">
        <v>24</v>
      </c>
      <c r="C155" s="14" t="s">
        <v>18</v>
      </c>
      <c r="D155" s="12" t="s">
        <v>24</v>
      </c>
      <c r="E155" s="15" t="str">
        <f t="shared" si="23"/>
        <v>03060306</v>
      </c>
      <c r="F155" s="16" t="s">
        <v>1222</v>
      </c>
      <c r="G155" s="16" t="str">
        <f t="shared" si="26"/>
        <v>抽屉06U钻刀片</v>
      </c>
      <c r="H155" t="str">
        <f t="shared" si="24"/>
        <v>行号03</v>
      </c>
      <c r="I155" s="16" t="str">
        <f t="shared" si="25"/>
        <v>序号06</v>
      </c>
      <c r="J155" s="38"/>
      <c r="K155" s="41"/>
      <c r="L155" s="41"/>
      <c r="M155" s="19">
        <v>0</v>
      </c>
      <c r="N155" s="41">
        <v>0</v>
      </c>
      <c r="P155" s="33"/>
      <c r="Q155" s="33"/>
    </row>
    <row r="156" spans="1:17">
      <c r="A156" s="12" t="s">
        <v>18</v>
      </c>
      <c r="B156" s="12" t="s">
        <v>24</v>
      </c>
      <c r="C156" s="14" t="s">
        <v>18</v>
      </c>
      <c r="D156" s="12" t="s">
        <v>26</v>
      </c>
      <c r="E156" s="15" t="str">
        <f t="shared" si="23"/>
        <v>03060307</v>
      </c>
      <c r="F156" s="16" t="s">
        <v>1222</v>
      </c>
      <c r="G156" s="16" t="str">
        <f t="shared" si="26"/>
        <v>抽屉06U钻刀片</v>
      </c>
      <c r="H156" t="str">
        <f t="shared" si="24"/>
        <v>行号03</v>
      </c>
      <c r="I156" s="16" t="str">
        <f t="shared" si="25"/>
        <v>序号07</v>
      </c>
      <c r="J156" s="38"/>
      <c r="K156" s="41"/>
      <c r="L156" s="41"/>
      <c r="M156" s="19">
        <v>0</v>
      </c>
      <c r="N156" s="41">
        <v>0</v>
      </c>
      <c r="P156" s="33"/>
      <c r="Q156" s="33"/>
    </row>
    <row r="157" spans="1:17">
      <c r="A157" s="12" t="s">
        <v>18</v>
      </c>
      <c r="B157" s="12" t="s">
        <v>24</v>
      </c>
      <c r="C157" s="14" t="s">
        <v>18</v>
      </c>
      <c r="D157" s="12" t="s">
        <v>28</v>
      </c>
      <c r="E157" s="15" t="str">
        <f t="shared" si="23"/>
        <v>03060308</v>
      </c>
      <c r="F157" s="16" t="s">
        <v>1222</v>
      </c>
      <c r="G157" s="16" t="str">
        <f t="shared" si="26"/>
        <v>抽屉06U钻刀片</v>
      </c>
      <c r="H157" t="str">
        <f t="shared" si="24"/>
        <v>行号03</v>
      </c>
      <c r="I157" s="16" t="str">
        <f t="shared" si="25"/>
        <v>序号08</v>
      </c>
      <c r="J157" s="24"/>
      <c r="K157" s="41"/>
      <c r="L157" s="41"/>
      <c r="M157" s="19">
        <v>0</v>
      </c>
      <c r="N157" s="41">
        <v>0</v>
      </c>
      <c r="P157" s="33"/>
      <c r="Q157" s="33"/>
    </row>
    <row r="158" spans="1:17">
      <c r="A158" s="12" t="s">
        <v>18</v>
      </c>
      <c r="B158" s="12" t="s">
        <v>24</v>
      </c>
      <c r="C158" s="12" t="s">
        <v>20</v>
      </c>
      <c r="D158" s="18" t="s">
        <v>14</v>
      </c>
      <c r="E158" s="15" t="str">
        <f t="shared" si="23"/>
        <v>03060401</v>
      </c>
      <c r="F158" s="16" t="s">
        <v>1222</v>
      </c>
      <c r="G158" s="16" t="str">
        <f t="shared" si="26"/>
        <v>抽屉06U钻刀片</v>
      </c>
      <c r="H158" t="str">
        <f t="shared" si="24"/>
        <v>行号04</v>
      </c>
      <c r="I158" s="16" t="str">
        <f t="shared" si="25"/>
        <v>序号01</v>
      </c>
      <c r="J158" t="s">
        <v>1285</v>
      </c>
      <c r="K158" s="39">
        <v>20</v>
      </c>
      <c r="L158" s="39">
        <v>20</v>
      </c>
      <c r="M158" s="39"/>
      <c r="N158" s="39"/>
      <c r="O158" s="23" t="s">
        <v>1247</v>
      </c>
      <c r="P158" s="33"/>
      <c r="Q158" s="33"/>
    </row>
    <row r="159" spans="1:17">
      <c r="A159" s="12" t="s">
        <v>18</v>
      </c>
      <c r="B159" s="12" t="s">
        <v>24</v>
      </c>
      <c r="C159" s="12" t="s">
        <v>20</v>
      </c>
      <c r="D159" s="18" t="s">
        <v>16</v>
      </c>
      <c r="E159" s="15" t="str">
        <f t="shared" si="23"/>
        <v>03060402</v>
      </c>
      <c r="F159" s="16" t="s">
        <v>1222</v>
      </c>
      <c r="G159" s="16" t="str">
        <f t="shared" si="26"/>
        <v>抽屉06U钻刀片</v>
      </c>
      <c r="H159" t="str">
        <f t="shared" si="24"/>
        <v>行号04</v>
      </c>
      <c r="I159" s="16" t="str">
        <f t="shared" si="25"/>
        <v>序号02</v>
      </c>
      <c r="J159" t="s">
        <v>289</v>
      </c>
      <c r="K159" s="39">
        <v>20</v>
      </c>
      <c r="L159" s="39">
        <v>20</v>
      </c>
      <c r="M159" s="39"/>
      <c r="N159" s="39"/>
      <c r="O159" s="23" t="s">
        <v>1247</v>
      </c>
      <c r="P159" s="33"/>
      <c r="Q159" s="33"/>
    </row>
    <row r="160" spans="1:17">
      <c r="A160" s="12" t="s">
        <v>18</v>
      </c>
      <c r="B160" s="12" t="s">
        <v>24</v>
      </c>
      <c r="C160" s="12" t="s">
        <v>20</v>
      </c>
      <c r="D160" s="18" t="s">
        <v>18</v>
      </c>
      <c r="E160" s="15" t="str">
        <f t="shared" si="23"/>
        <v>03060403</v>
      </c>
      <c r="F160" s="16" t="s">
        <v>1222</v>
      </c>
      <c r="G160" s="16" t="str">
        <f t="shared" si="26"/>
        <v>抽屉06U钻刀片</v>
      </c>
      <c r="H160" t="str">
        <f t="shared" si="24"/>
        <v>行号04</v>
      </c>
      <c r="I160" s="16" t="str">
        <f t="shared" si="25"/>
        <v>序号03</v>
      </c>
      <c r="J160" t="s">
        <v>290</v>
      </c>
      <c r="K160" s="39">
        <v>20</v>
      </c>
      <c r="L160" s="39">
        <v>20</v>
      </c>
      <c r="M160" s="39"/>
      <c r="N160" s="39"/>
      <c r="O160" s="23" t="s">
        <v>1247</v>
      </c>
      <c r="P160" s="33"/>
      <c r="Q160" s="33"/>
    </row>
    <row r="161" spans="1:17">
      <c r="A161" s="12" t="s">
        <v>18</v>
      </c>
      <c r="B161" s="12" t="s">
        <v>24</v>
      </c>
      <c r="C161" s="12" t="s">
        <v>20</v>
      </c>
      <c r="D161" s="18" t="s">
        <v>20</v>
      </c>
      <c r="E161" s="15" t="str">
        <f t="shared" si="23"/>
        <v>03060404</v>
      </c>
      <c r="F161" s="16" t="s">
        <v>1222</v>
      </c>
      <c r="G161" s="16" t="str">
        <f t="shared" si="26"/>
        <v>抽屉06U钻刀片</v>
      </c>
      <c r="H161" t="str">
        <f t="shared" si="24"/>
        <v>行号04</v>
      </c>
      <c r="I161" s="16" t="str">
        <f t="shared" si="25"/>
        <v>序号04</v>
      </c>
      <c r="J161" t="s">
        <v>1284</v>
      </c>
      <c r="K161" s="39">
        <v>20</v>
      </c>
      <c r="L161" s="39">
        <v>20</v>
      </c>
      <c r="M161" s="39"/>
      <c r="N161" s="39"/>
      <c r="O161" s="23" t="s">
        <v>1247</v>
      </c>
      <c r="P161" s="33"/>
      <c r="Q161" s="33"/>
    </row>
    <row r="162" spans="1:17">
      <c r="A162" s="12" t="s">
        <v>18</v>
      </c>
      <c r="B162" s="12" t="s">
        <v>24</v>
      </c>
      <c r="C162" s="12" t="s">
        <v>20</v>
      </c>
      <c r="D162" s="18" t="s">
        <v>22</v>
      </c>
      <c r="E162" s="15" t="str">
        <f t="shared" si="23"/>
        <v>03060405</v>
      </c>
      <c r="F162" s="16" t="s">
        <v>1222</v>
      </c>
      <c r="G162" s="16" t="str">
        <f t="shared" si="26"/>
        <v>抽屉06U钻刀片</v>
      </c>
      <c r="H162" t="str">
        <f t="shared" si="24"/>
        <v>行号04</v>
      </c>
      <c r="I162" s="16" t="str">
        <f t="shared" si="25"/>
        <v>序号05</v>
      </c>
      <c r="J162" t="s">
        <v>1283</v>
      </c>
      <c r="K162" s="39"/>
      <c r="L162" s="39"/>
      <c r="M162" s="39"/>
      <c r="N162" s="39"/>
      <c r="O162" s="23" t="s">
        <v>1235</v>
      </c>
      <c r="P162" s="33"/>
      <c r="Q162" s="33"/>
    </row>
    <row r="163" spans="1:17">
      <c r="A163" s="12" t="s">
        <v>18</v>
      </c>
      <c r="B163" s="12" t="s">
        <v>24</v>
      </c>
      <c r="C163" s="12" t="s">
        <v>20</v>
      </c>
      <c r="D163" s="18" t="s">
        <v>24</v>
      </c>
      <c r="E163" s="15" t="str">
        <f t="shared" si="23"/>
        <v>03060406</v>
      </c>
      <c r="F163" s="16" t="s">
        <v>1222</v>
      </c>
      <c r="G163" s="16" t="str">
        <f t="shared" si="26"/>
        <v>抽屉06U钻刀片</v>
      </c>
      <c r="H163" t="str">
        <f t="shared" si="24"/>
        <v>行号04</v>
      </c>
      <c r="I163" s="16" t="str">
        <f t="shared" si="25"/>
        <v>序号06</v>
      </c>
      <c r="J163" s="24"/>
      <c r="K163" s="41"/>
      <c r="L163" s="41"/>
      <c r="M163" s="19">
        <v>0</v>
      </c>
      <c r="N163" s="41">
        <v>0</v>
      </c>
      <c r="P163" s="33"/>
      <c r="Q163" s="33"/>
    </row>
    <row r="164" spans="1:17">
      <c r="A164" s="12" t="s">
        <v>18</v>
      </c>
      <c r="B164" s="12" t="s">
        <v>24</v>
      </c>
      <c r="C164" s="12" t="s">
        <v>20</v>
      </c>
      <c r="D164" s="18" t="s">
        <v>26</v>
      </c>
      <c r="E164" s="15" t="str">
        <f t="shared" si="23"/>
        <v>03060407</v>
      </c>
      <c r="F164" s="16" t="s">
        <v>1222</v>
      </c>
      <c r="G164" s="16" t="str">
        <f t="shared" si="26"/>
        <v>抽屉06U钻刀片</v>
      </c>
      <c r="H164" t="str">
        <f t="shared" si="24"/>
        <v>行号04</v>
      </c>
      <c r="I164" s="16" t="str">
        <f t="shared" si="25"/>
        <v>序号07</v>
      </c>
      <c r="J164" s="24"/>
      <c r="K164" s="41"/>
      <c r="L164" s="41"/>
      <c r="M164" s="19">
        <v>0</v>
      </c>
      <c r="N164" s="41">
        <v>0</v>
      </c>
      <c r="P164" s="33"/>
      <c r="Q164" s="33"/>
    </row>
    <row r="165" spans="1:17">
      <c r="A165" s="12" t="s">
        <v>18</v>
      </c>
      <c r="B165" s="12" t="s">
        <v>24</v>
      </c>
      <c r="C165" s="12" t="s">
        <v>20</v>
      </c>
      <c r="D165" s="18" t="s">
        <v>28</v>
      </c>
      <c r="E165" s="15" t="str">
        <f t="shared" si="23"/>
        <v>03060408</v>
      </c>
      <c r="F165" s="16" t="s">
        <v>1222</v>
      </c>
      <c r="G165" s="16" t="str">
        <f t="shared" si="26"/>
        <v>抽屉06U钻刀片</v>
      </c>
      <c r="H165" t="str">
        <f t="shared" si="24"/>
        <v>行号04</v>
      </c>
      <c r="I165" s="16" t="str">
        <f t="shared" si="25"/>
        <v>序号08</v>
      </c>
      <c r="J165" s="38"/>
      <c r="K165" s="41"/>
      <c r="L165" s="41"/>
      <c r="M165" s="19">
        <v>0</v>
      </c>
      <c r="N165" s="41">
        <v>0</v>
      </c>
      <c r="P165" s="33"/>
      <c r="Q165" s="33"/>
    </row>
    <row r="166" spans="1:17">
      <c r="A166" s="12" t="s">
        <v>18</v>
      </c>
      <c r="B166" s="13" t="s">
        <v>26</v>
      </c>
      <c r="C166" s="14" t="s">
        <v>14</v>
      </c>
      <c r="D166" s="12" t="s">
        <v>14</v>
      </c>
      <c r="E166" s="15" t="str">
        <f t="shared" si="23"/>
        <v>03070101</v>
      </c>
      <c r="F166" s="16" t="s">
        <v>1222</v>
      </c>
      <c r="G166" s="16" t="str">
        <f>"抽屉"&amp;B166&amp;"U钻刀片"</f>
        <v>抽屉07U钻刀片</v>
      </c>
      <c r="H166" t="str">
        <f t="shared" si="24"/>
        <v>行号01</v>
      </c>
      <c r="I166" s="16" t="str">
        <f t="shared" si="25"/>
        <v>序号01</v>
      </c>
      <c r="J166" s="36" t="s">
        <v>291</v>
      </c>
      <c r="K166" s="39">
        <v>20</v>
      </c>
      <c r="L166" s="39">
        <v>30</v>
      </c>
      <c r="M166" s="39"/>
      <c r="N166" s="39"/>
      <c r="O166" s="23" t="s">
        <v>1236</v>
      </c>
      <c r="P166" s="33">
        <v>799265</v>
      </c>
      <c r="Q166" s="33">
        <v>89.73</v>
      </c>
    </row>
    <row r="167" spans="1:17">
      <c r="A167" s="12" t="s">
        <v>18</v>
      </c>
      <c r="B167" s="13" t="s">
        <v>26</v>
      </c>
      <c r="C167" s="14" t="s">
        <v>14</v>
      </c>
      <c r="D167" s="12" t="s">
        <v>16</v>
      </c>
      <c r="E167" s="15" t="str">
        <f t="shared" si="23"/>
        <v>03070102</v>
      </c>
      <c r="F167" s="16" t="s">
        <v>1222</v>
      </c>
      <c r="G167" s="16" t="str">
        <f t="shared" ref="G167:G194" si="27">"抽屉"&amp;B167&amp;"U钻刀片"</f>
        <v>抽屉07U钻刀片</v>
      </c>
      <c r="H167" t="str">
        <f t="shared" si="24"/>
        <v>行号01</v>
      </c>
      <c r="I167" s="16" t="str">
        <f t="shared" si="25"/>
        <v>序号02</v>
      </c>
      <c r="J167" s="36" t="s">
        <v>292</v>
      </c>
      <c r="K167" s="39">
        <v>20</v>
      </c>
      <c r="L167" s="39">
        <v>30</v>
      </c>
      <c r="M167" s="39"/>
      <c r="N167" s="39"/>
      <c r="O167" s="23" t="s">
        <v>1236</v>
      </c>
      <c r="P167" s="33">
        <v>799266</v>
      </c>
      <c r="Q167" s="33">
        <v>79.849999999999994</v>
      </c>
    </row>
    <row r="168" spans="1:17">
      <c r="A168" s="12" t="s">
        <v>18</v>
      </c>
      <c r="B168" s="13" t="s">
        <v>26</v>
      </c>
      <c r="C168" s="14" t="s">
        <v>14</v>
      </c>
      <c r="D168" s="12" t="s">
        <v>18</v>
      </c>
      <c r="E168" s="15" t="str">
        <f t="shared" si="23"/>
        <v>03070103</v>
      </c>
      <c r="F168" s="16" t="s">
        <v>1222</v>
      </c>
      <c r="G168" s="16" t="str">
        <f t="shared" si="27"/>
        <v>抽屉07U钻刀片</v>
      </c>
      <c r="H168" t="str">
        <f t="shared" si="24"/>
        <v>行号01</v>
      </c>
      <c r="I168" s="16" t="str">
        <f t="shared" si="25"/>
        <v>序号03</v>
      </c>
      <c r="J168" s="36" t="s">
        <v>293</v>
      </c>
      <c r="K168" s="39">
        <v>20</v>
      </c>
      <c r="L168" s="39">
        <v>30</v>
      </c>
      <c r="M168" s="39"/>
      <c r="N168" s="39"/>
      <c r="O168" s="23" t="s">
        <v>1236</v>
      </c>
      <c r="P168" s="33">
        <v>861201</v>
      </c>
      <c r="Q168" s="33"/>
    </row>
    <row r="169" spans="1:17">
      <c r="A169" s="12" t="s">
        <v>18</v>
      </c>
      <c r="B169" s="13" t="s">
        <v>26</v>
      </c>
      <c r="C169" s="14" t="s">
        <v>14</v>
      </c>
      <c r="D169" s="12" t="s">
        <v>20</v>
      </c>
      <c r="E169" s="15" t="str">
        <f t="shared" si="23"/>
        <v>03070104</v>
      </c>
      <c r="F169" s="16" t="s">
        <v>1222</v>
      </c>
      <c r="G169" s="16" t="str">
        <f t="shared" si="27"/>
        <v>抽屉07U钻刀片</v>
      </c>
      <c r="H169" t="str">
        <f t="shared" si="24"/>
        <v>行号01</v>
      </c>
      <c r="I169" s="16" t="str">
        <f t="shared" si="25"/>
        <v>序号04</v>
      </c>
      <c r="J169" s="36" t="s">
        <v>294</v>
      </c>
      <c r="K169" s="39">
        <v>20</v>
      </c>
      <c r="L169" s="39">
        <v>30</v>
      </c>
      <c r="M169" s="39"/>
      <c r="N169" s="39"/>
      <c r="O169" s="23" t="s">
        <v>1236</v>
      </c>
      <c r="P169" s="33">
        <v>861205</v>
      </c>
      <c r="Q169" s="33"/>
    </row>
    <row r="170" spans="1:17">
      <c r="A170" s="12" t="s">
        <v>18</v>
      </c>
      <c r="B170" s="13" t="s">
        <v>26</v>
      </c>
      <c r="C170" s="14" t="s">
        <v>14</v>
      </c>
      <c r="D170" s="12" t="s">
        <v>22</v>
      </c>
      <c r="E170" s="15" t="str">
        <f t="shared" si="23"/>
        <v>03070105</v>
      </c>
      <c r="F170" s="16" t="s">
        <v>1222</v>
      </c>
      <c r="G170" s="16" t="str">
        <f t="shared" si="27"/>
        <v>抽屉07U钻刀片</v>
      </c>
      <c r="H170" t="str">
        <f t="shared" si="24"/>
        <v>行号01</v>
      </c>
      <c r="I170" s="16" t="str">
        <f t="shared" si="25"/>
        <v>序号05</v>
      </c>
      <c r="J170" t="s">
        <v>295</v>
      </c>
      <c r="K170" s="39">
        <v>20</v>
      </c>
      <c r="L170" s="39">
        <v>30</v>
      </c>
      <c r="M170" s="39"/>
      <c r="N170" s="39"/>
      <c r="O170" s="23" t="s">
        <v>1236</v>
      </c>
      <c r="P170" s="33">
        <v>861214</v>
      </c>
      <c r="Q170" s="33"/>
    </row>
    <row r="171" spans="1:17">
      <c r="A171" s="12" t="s">
        <v>18</v>
      </c>
      <c r="B171" s="13" t="s">
        <v>26</v>
      </c>
      <c r="C171" s="14" t="s">
        <v>14</v>
      </c>
      <c r="D171" s="12" t="s">
        <v>24</v>
      </c>
      <c r="E171" s="15" t="str">
        <f t="shared" si="23"/>
        <v>03070106</v>
      </c>
      <c r="F171" s="16" t="s">
        <v>1222</v>
      </c>
      <c r="G171" s="16" t="str">
        <f t="shared" si="27"/>
        <v>抽屉07U钻刀片</v>
      </c>
      <c r="H171" t="str">
        <f t="shared" si="24"/>
        <v>行号01</v>
      </c>
      <c r="I171" s="16" t="str">
        <f t="shared" si="25"/>
        <v>序号06</v>
      </c>
      <c r="J171" t="s">
        <v>296</v>
      </c>
      <c r="K171" s="39">
        <v>20</v>
      </c>
      <c r="L171" s="39">
        <v>30</v>
      </c>
      <c r="M171" s="39"/>
      <c r="N171" s="39"/>
      <c r="O171" s="23" t="s">
        <v>1236</v>
      </c>
      <c r="P171" s="33">
        <v>861217</v>
      </c>
      <c r="Q171" s="33"/>
    </row>
    <row r="172" spans="1:17">
      <c r="A172" s="12" t="s">
        <v>18</v>
      </c>
      <c r="B172" s="13" t="s">
        <v>26</v>
      </c>
      <c r="C172" s="14" t="s">
        <v>14</v>
      </c>
      <c r="D172" s="12" t="s">
        <v>28</v>
      </c>
      <c r="E172" s="15" t="str">
        <f t="shared" si="23"/>
        <v>03070108</v>
      </c>
      <c r="F172" s="16" t="s">
        <v>1222</v>
      </c>
      <c r="G172" s="16" t="str">
        <f t="shared" si="27"/>
        <v>抽屉07U钻刀片</v>
      </c>
      <c r="H172" t="str">
        <f t="shared" si="24"/>
        <v>行号01</v>
      </c>
      <c r="I172" s="16" t="str">
        <f t="shared" si="25"/>
        <v>序号08</v>
      </c>
      <c r="J172" s="24"/>
      <c r="K172" s="41"/>
      <c r="L172" s="41"/>
      <c r="M172" s="19">
        <v>0</v>
      </c>
      <c r="N172" s="41">
        <v>0</v>
      </c>
      <c r="P172" s="33"/>
      <c r="Q172" s="33"/>
    </row>
    <row r="173" spans="1:17">
      <c r="A173" s="12" t="s">
        <v>18</v>
      </c>
      <c r="B173" s="13" t="s">
        <v>26</v>
      </c>
      <c r="C173" s="12" t="s">
        <v>16</v>
      </c>
      <c r="D173" s="18" t="s">
        <v>14</v>
      </c>
      <c r="E173" s="15" t="str">
        <f t="shared" si="23"/>
        <v>03070201</v>
      </c>
      <c r="F173" s="16" t="s">
        <v>1222</v>
      </c>
      <c r="G173" s="16" t="str">
        <f t="shared" si="27"/>
        <v>抽屉07U钻刀片</v>
      </c>
      <c r="H173" t="str">
        <f t="shared" si="24"/>
        <v>行号02</v>
      </c>
      <c r="I173" s="16" t="str">
        <f t="shared" si="25"/>
        <v>序号01</v>
      </c>
      <c r="J173" s="38"/>
      <c r="K173" s="41"/>
      <c r="L173" s="41"/>
      <c r="M173" s="19">
        <v>0</v>
      </c>
      <c r="N173" s="41">
        <v>0</v>
      </c>
      <c r="P173" s="33"/>
      <c r="Q173" s="33"/>
    </row>
    <row r="174" spans="1:17">
      <c r="A174" s="12" t="s">
        <v>18</v>
      </c>
      <c r="B174" s="13" t="s">
        <v>26</v>
      </c>
      <c r="C174" s="12" t="s">
        <v>16</v>
      </c>
      <c r="D174" s="18" t="s">
        <v>16</v>
      </c>
      <c r="E174" s="15" t="str">
        <f t="shared" si="23"/>
        <v>03070202</v>
      </c>
      <c r="F174" s="16" t="s">
        <v>1222</v>
      </c>
      <c r="G174" s="16" t="str">
        <f t="shared" si="27"/>
        <v>抽屉07U钻刀片</v>
      </c>
      <c r="H174" t="str">
        <f t="shared" si="24"/>
        <v>行号02</v>
      </c>
      <c r="I174" s="16" t="str">
        <f t="shared" si="25"/>
        <v>序号02</v>
      </c>
      <c r="J174" s="38"/>
      <c r="K174" s="41"/>
      <c r="L174" s="41"/>
      <c r="M174" s="19">
        <v>0</v>
      </c>
      <c r="N174" s="41">
        <v>0</v>
      </c>
      <c r="P174" s="33"/>
      <c r="Q174" s="33"/>
    </row>
    <row r="175" spans="1:17">
      <c r="A175" s="12" t="s">
        <v>18</v>
      </c>
      <c r="B175" s="13" t="s">
        <v>26</v>
      </c>
      <c r="C175" s="12" t="s">
        <v>16</v>
      </c>
      <c r="D175" s="18" t="s">
        <v>20</v>
      </c>
      <c r="E175" s="15" t="str">
        <f t="shared" si="23"/>
        <v>03070204</v>
      </c>
      <c r="F175" s="16" t="s">
        <v>1222</v>
      </c>
      <c r="G175" s="16" t="str">
        <f t="shared" si="27"/>
        <v>抽屉07U钻刀片</v>
      </c>
      <c r="H175" t="str">
        <f t="shared" si="24"/>
        <v>行号02</v>
      </c>
      <c r="I175" s="16" t="str">
        <f t="shared" si="25"/>
        <v>序号04</v>
      </c>
      <c r="J175" s="36" t="s">
        <v>299</v>
      </c>
      <c r="K175" s="39">
        <v>30</v>
      </c>
      <c r="L175" s="39">
        <v>50</v>
      </c>
      <c r="M175" s="39"/>
      <c r="N175" s="39"/>
      <c r="O175" s="23" t="s">
        <v>1236</v>
      </c>
      <c r="P175" s="33">
        <v>969116</v>
      </c>
      <c r="Q175" s="33"/>
    </row>
    <row r="176" spans="1:17">
      <c r="A176" s="12" t="s">
        <v>18</v>
      </c>
      <c r="B176" s="13" t="s">
        <v>26</v>
      </c>
      <c r="C176" s="12" t="s">
        <v>16</v>
      </c>
      <c r="D176" s="18" t="s">
        <v>22</v>
      </c>
      <c r="E176" s="15" t="str">
        <f t="shared" si="23"/>
        <v>03070205</v>
      </c>
      <c r="F176" s="16" t="s">
        <v>1222</v>
      </c>
      <c r="G176" s="16" t="str">
        <f t="shared" si="27"/>
        <v>抽屉07U钻刀片</v>
      </c>
      <c r="H176" t="str">
        <f t="shared" si="24"/>
        <v>行号02</v>
      </c>
      <c r="I176" s="16" t="str">
        <f t="shared" si="25"/>
        <v>序号05</v>
      </c>
      <c r="J176" s="36" t="s">
        <v>300</v>
      </c>
      <c r="K176" s="39">
        <v>30</v>
      </c>
      <c r="L176" s="39">
        <v>50</v>
      </c>
      <c r="M176" s="39"/>
      <c r="N176" s="39"/>
      <c r="O176" s="23" t="s">
        <v>1236</v>
      </c>
      <c r="P176" s="33">
        <v>861207</v>
      </c>
      <c r="Q176" s="33"/>
    </row>
    <row r="177" spans="1:17">
      <c r="A177" s="12" t="s">
        <v>18</v>
      </c>
      <c r="B177" s="13" t="s">
        <v>26</v>
      </c>
      <c r="C177" s="12" t="s">
        <v>16</v>
      </c>
      <c r="D177" s="18" t="s">
        <v>24</v>
      </c>
      <c r="E177" s="15" t="str">
        <f t="shared" si="23"/>
        <v>03070206</v>
      </c>
      <c r="F177" s="16" t="s">
        <v>1222</v>
      </c>
      <c r="G177" s="16" t="str">
        <f t="shared" si="27"/>
        <v>抽屉07U钻刀片</v>
      </c>
      <c r="H177" t="str">
        <f t="shared" si="24"/>
        <v>行号02</v>
      </c>
      <c r="I177" s="16" t="str">
        <f t="shared" si="25"/>
        <v>序号06</v>
      </c>
      <c r="J177" s="36" t="s">
        <v>301</v>
      </c>
      <c r="K177" s="39">
        <v>20</v>
      </c>
      <c r="L177" s="39">
        <v>30</v>
      </c>
      <c r="M177" s="39"/>
      <c r="N177" s="39"/>
      <c r="O177" s="23" t="s">
        <v>1236</v>
      </c>
      <c r="P177" s="33">
        <v>867454</v>
      </c>
      <c r="Q177" s="33"/>
    </row>
    <row r="178" spans="1:17">
      <c r="A178" s="12" t="s">
        <v>18</v>
      </c>
      <c r="B178" s="13" t="s">
        <v>26</v>
      </c>
      <c r="C178" s="12" t="s">
        <v>16</v>
      </c>
      <c r="D178" s="18" t="s">
        <v>26</v>
      </c>
      <c r="E178" s="15" t="str">
        <f t="shared" si="23"/>
        <v>03070207</v>
      </c>
      <c r="F178" s="16" t="s">
        <v>1222</v>
      </c>
      <c r="G178" s="16" t="str">
        <f t="shared" si="27"/>
        <v>抽屉07U钻刀片</v>
      </c>
      <c r="H178" t="str">
        <f t="shared" si="24"/>
        <v>行号02</v>
      </c>
      <c r="I178" s="16" t="str">
        <f t="shared" si="25"/>
        <v>序号07</v>
      </c>
      <c r="J178" s="36" t="s">
        <v>302</v>
      </c>
      <c r="K178" s="39">
        <v>20</v>
      </c>
      <c r="L178" s="39">
        <v>30</v>
      </c>
      <c r="M178" s="39"/>
      <c r="N178" s="39"/>
      <c r="O178" s="23" t="s">
        <v>1236</v>
      </c>
      <c r="P178" s="33">
        <v>867453</v>
      </c>
      <c r="Q178" s="33"/>
    </row>
    <row r="179" spans="1:17">
      <c r="A179" s="12" t="s">
        <v>18</v>
      </c>
      <c r="B179" s="13" t="s">
        <v>26</v>
      </c>
      <c r="C179" s="12" t="s">
        <v>16</v>
      </c>
      <c r="D179" s="18" t="s">
        <v>28</v>
      </c>
      <c r="E179" s="15" t="str">
        <f t="shared" si="23"/>
        <v>03070208</v>
      </c>
      <c r="F179" s="16" t="s">
        <v>1222</v>
      </c>
      <c r="G179" s="16" t="str">
        <f t="shared" si="27"/>
        <v>抽屉07U钻刀片</v>
      </c>
      <c r="H179" t="str">
        <f t="shared" si="24"/>
        <v>行号02</v>
      </c>
      <c r="I179" s="16" t="str">
        <f t="shared" si="25"/>
        <v>序号08</v>
      </c>
      <c r="J179" s="24"/>
      <c r="K179" s="41"/>
      <c r="L179" s="41"/>
      <c r="M179" s="19">
        <v>0</v>
      </c>
      <c r="N179" s="41">
        <v>0</v>
      </c>
      <c r="P179" s="33"/>
      <c r="Q179" s="33"/>
    </row>
    <row r="180" spans="1:17">
      <c r="A180" s="12" t="s">
        <v>18</v>
      </c>
      <c r="B180" s="13" t="s">
        <v>26</v>
      </c>
      <c r="C180" s="14" t="s">
        <v>18</v>
      </c>
      <c r="D180" s="12" t="s">
        <v>14</v>
      </c>
      <c r="E180" s="15" t="str">
        <f t="shared" si="23"/>
        <v>03070301</v>
      </c>
      <c r="F180" s="16" t="s">
        <v>1222</v>
      </c>
      <c r="G180" s="16" t="str">
        <f t="shared" si="27"/>
        <v>抽屉07U钻刀片</v>
      </c>
      <c r="H180" t="str">
        <f t="shared" si="24"/>
        <v>行号03</v>
      </c>
      <c r="I180" s="16" t="str">
        <f t="shared" si="25"/>
        <v>序号01</v>
      </c>
      <c r="J180" t="s">
        <v>303</v>
      </c>
      <c r="K180" s="39">
        <v>20</v>
      </c>
      <c r="L180" s="39">
        <v>30</v>
      </c>
      <c r="M180" s="39"/>
      <c r="N180" s="39"/>
      <c r="O180" s="23" t="s">
        <v>1236</v>
      </c>
      <c r="P180" s="33"/>
      <c r="Q180" s="33"/>
    </row>
    <row r="181" spans="1:17">
      <c r="A181" s="12" t="s">
        <v>18</v>
      </c>
      <c r="B181" s="13" t="s">
        <v>26</v>
      </c>
      <c r="C181" s="14" t="s">
        <v>18</v>
      </c>
      <c r="D181" s="12" t="s">
        <v>16</v>
      </c>
      <c r="E181" s="15" t="str">
        <f t="shared" si="23"/>
        <v>03070302</v>
      </c>
      <c r="F181" s="16" t="s">
        <v>1222</v>
      </c>
      <c r="G181" s="16" t="str">
        <f t="shared" si="27"/>
        <v>抽屉07U钻刀片</v>
      </c>
      <c r="H181" t="str">
        <f t="shared" si="24"/>
        <v>行号03</v>
      </c>
      <c r="I181" s="16" t="str">
        <f t="shared" si="25"/>
        <v>序号02</v>
      </c>
      <c r="J181" s="36" t="s">
        <v>304</v>
      </c>
      <c r="K181" s="39">
        <v>20</v>
      </c>
      <c r="L181" s="39">
        <v>30</v>
      </c>
      <c r="M181" s="39"/>
      <c r="N181" s="39"/>
      <c r="O181" s="23" t="s">
        <v>1236</v>
      </c>
      <c r="P181" s="33"/>
      <c r="Q181" s="33"/>
    </row>
    <row r="182" spans="1:17">
      <c r="A182" s="12" t="s">
        <v>18</v>
      </c>
      <c r="B182" s="13" t="s">
        <v>26</v>
      </c>
      <c r="C182" s="14" t="s">
        <v>18</v>
      </c>
      <c r="D182" s="12" t="s">
        <v>18</v>
      </c>
      <c r="E182" s="15" t="str">
        <f t="shared" si="23"/>
        <v>03070303</v>
      </c>
      <c r="F182" s="16" t="s">
        <v>1222</v>
      </c>
      <c r="G182" s="16" t="str">
        <f t="shared" si="27"/>
        <v>抽屉07U钻刀片</v>
      </c>
      <c r="H182" t="str">
        <f t="shared" si="24"/>
        <v>行号03</v>
      </c>
      <c r="I182" s="16" t="str">
        <f t="shared" si="25"/>
        <v>序号03</v>
      </c>
      <c r="J182" s="38"/>
      <c r="K182" s="41"/>
      <c r="L182" s="41"/>
      <c r="M182" s="19">
        <v>0</v>
      </c>
      <c r="N182" s="41">
        <v>0</v>
      </c>
      <c r="P182" s="33"/>
      <c r="Q182" s="33"/>
    </row>
    <row r="183" spans="1:17">
      <c r="A183" s="12" t="s">
        <v>18</v>
      </c>
      <c r="B183" s="13" t="s">
        <v>26</v>
      </c>
      <c r="C183" s="14" t="s">
        <v>18</v>
      </c>
      <c r="D183" s="12" t="s">
        <v>20</v>
      </c>
      <c r="E183" s="15" t="str">
        <f t="shared" si="23"/>
        <v>03070304</v>
      </c>
      <c r="F183" s="16" t="s">
        <v>1222</v>
      </c>
      <c r="G183" s="16" t="str">
        <f t="shared" si="27"/>
        <v>抽屉07U钻刀片</v>
      </c>
      <c r="H183" t="str">
        <f t="shared" si="24"/>
        <v>行号03</v>
      </c>
      <c r="I183" s="16" t="str">
        <f t="shared" si="25"/>
        <v>序号04</v>
      </c>
      <c r="J183" s="36" t="s">
        <v>305</v>
      </c>
      <c r="K183" s="39">
        <v>10</v>
      </c>
      <c r="L183" s="39">
        <v>20</v>
      </c>
      <c r="M183" s="39"/>
      <c r="N183" s="39"/>
      <c r="O183" s="23" t="s">
        <v>1236</v>
      </c>
      <c r="P183" s="33">
        <v>796013</v>
      </c>
      <c r="Q183" s="33">
        <v>86.49</v>
      </c>
    </row>
    <row r="184" spans="1:17">
      <c r="A184" s="12" t="s">
        <v>18</v>
      </c>
      <c r="B184" s="13" t="s">
        <v>26</v>
      </c>
      <c r="C184" s="14" t="s">
        <v>18</v>
      </c>
      <c r="D184" s="12" t="s">
        <v>22</v>
      </c>
      <c r="E184" s="15" t="str">
        <f t="shared" si="23"/>
        <v>03070305</v>
      </c>
      <c r="F184" s="16" t="s">
        <v>1222</v>
      </c>
      <c r="G184" s="16" t="str">
        <f t="shared" si="27"/>
        <v>抽屉07U钻刀片</v>
      </c>
      <c r="H184" t="str">
        <f t="shared" si="24"/>
        <v>行号03</v>
      </c>
      <c r="I184" s="16" t="str">
        <f t="shared" si="25"/>
        <v>序号05</v>
      </c>
      <c r="J184" t="s">
        <v>306</v>
      </c>
      <c r="K184" s="39">
        <v>20</v>
      </c>
      <c r="L184" s="39">
        <v>30</v>
      </c>
      <c r="M184" s="39"/>
      <c r="N184" s="39"/>
      <c r="O184" s="23" t="s">
        <v>1236</v>
      </c>
      <c r="P184" s="33">
        <v>969115</v>
      </c>
      <c r="Q184" s="33"/>
    </row>
    <row r="185" spans="1:17">
      <c r="A185" s="12" t="s">
        <v>18</v>
      </c>
      <c r="B185" s="13" t="s">
        <v>26</v>
      </c>
      <c r="C185" s="14" t="s">
        <v>18</v>
      </c>
      <c r="D185" s="12" t="s">
        <v>24</v>
      </c>
      <c r="E185" s="15" t="str">
        <f t="shared" si="23"/>
        <v>03070306</v>
      </c>
      <c r="F185" s="16" t="s">
        <v>1222</v>
      </c>
      <c r="G185" s="16" t="str">
        <f t="shared" si="27"/>
        <v>抽屉07U钻刀片</v>
      </c>
      <c r="H185" t="str">
        <f t="shared" si="24"/>
        <v>行号03</v>
      </c>
      <c r="I185" s="16" t="str">
        <f t="shared" si="25"/>
        <v>序号06</v>
      </c>
      <c r="J185" t="s">
        <v>307</v>
      </c>
      <c r="K185" s="39">
        <v>20</v>
      </c>
      <c r="L185" s="39">
        <v>30</v>
      </c>
      <c r="M185" s="39"/>
      <c r="N185" s="39"/>
      <c r="O185" s="23" t="s">
        <v>1236</v>
      </c>
      <c r="P185" s="33"/>
      <c r="Q185" s="33"/>
    </row>
    <row r="186" spans="1:17">
      <c r="A186" s="12" t="s">
        <v>18</v>
      </c>
      <c r="B186" s="13" t="s">
        <v>26</v>
      </c>
      <c r="C186" s="14" t="s">
        <v>18</v>
      </c>
      <c r="D186" s="12" t="s">
        <v>26</v>
      </c>
      <c r="E186" s="15" t="str">
        <f t="shared" si="23"/>
        <v>03070307</v>
      </c>
      <c r="F186" s="16" t="s">
        <v>1222</v>
      </c>
      <c r="G186" s="16" t="str">
        <f t="shared" si="27"/>
        <v>抽屉07U钻刀片</v>
      </c>
      <c r="H186" t="str">
        <f t="shared" si="24"/>
        <v>行号03</v>
      </c>
      <c r="I186" s="16" t="str">
        <f t="shared" si="25"/>
        <v>序号07</v>
      </c>
      <c r="J186" s="36" t="s">
        <v>1313</v>
      </c>
      <c r="K186" s="41">
        <v>10</v>
      </c>
      <c r="L186" s="41">
        <v>20</v>
      </c>
      <c r="M186" s="19"/>
      <c r="N186" s="41"/>
      <c r="O186" s="23" t="s">
        <v>1236</v>
      </c>
      <c r="P186" s="33"/>
      <c r="Q186" s="33"/>
    </row>
    <row r="187" spans="1:17">
      <c r="A187" s="12" t="s">
        <v>18</v>
      </c>
      <c r="B187" s="13" t="s">
        <v>26</v>
      </c>
      <c r="C187" s="14" t="s">
        <v>18</v>
      </c>
      <c r="D187" s="12" t="s">
        <v>28</v>
      </c>
      <c r="E187" s="15" t="str">
        <f t="shared" si="23"/>
        <v>03070308</v>
      </c>
      <c r="F187" s="16" t="s">
        <v>1222</v>
      </c>
      <c r="G187" s="16" t="str">
        <f t="shared" si="27"/>
        <v>抽屉07U钻刀片</v>
      </c>
      <c r="H187" t="str">
        <f t="shared" si="24"/>
        <v>行号03</v>
      </c>
      <c r="I187" s="16" t="str">
        <f t="shared" si="25"/>
        <v>序号08</v>
      </c>
      <c r="J187" s="24"/>
      <c r="K187" s="41"/>
      <c r="L187" s="41"/>
      <c r="M187" s="19">
        <v>0</v>
      </c>
      <c r="N187" s="41">
        <v>0</v>
      </c>
      <c r="P187" s="33"/>
      <c r="Q187" s="33"/>
    </row>
    <row r="188" spans="1:17">
      <c r="A188" s="12" t="s">
        <v>18</v>
      </c>
      <c r="B188" s="13" t="s">
        <v>26</v>
      </c>
      <c r="C188" s="12" t="s">
        <v>20</v>
      </c>
      <c r="D188" s="18" t="s">
        <v>16</v>
      </c>
      <c r="E188" s="15" t="str">
        <f t="shared" si="23"/>
        <v>03070402</v>
      </c>
      <c r="F188" s="16" t="s">
        <v>1222</v>
      </c>
      <c r="G188" s="16" t="str">
        <f t="shared" si="27"/>
        <v>抽屉07U钻刀片</v>
      </c>
      <c r="H188" t="str">
        <f t="shared" si="24"/>
        <v>行号04</v>
      </c>
      <c r="I188" s="16" t="str">
        <f t="shared" si="25"/>
        <v>序号02</v>
      </c>
      <c r="J188" t="s">
        <v>309</v>
      </c>
      <c r="K188" s="39">
        <v>5</v>
      </c>
      <c r="L188" s="39">
        <v>5</v>
      </c>
      <c r="M188" s="39"/>
      <c r="N188" s="39"/>
      <c r="O188" s="23" t="s">
        <v>1249</v>
      </c>
      <c r="P188" s="33"/>
      <c r="Q188" s="33"/>
    </row>
    <row r="189" spans="1:17">
      <c r="A189" s="12" t="s">
        <v>18</v>
      </c>
      <c r="B189" s="13" t="s">
        <v>26</v>
      </c>
      <c r="C189" s="12" t="s">
        <v>20</v>
      </c>
      <c r="D189" s="18" t="s">
        <v>18</v>
      </c>
      <c r="E189" s="15" t="str">
        <f t="shared" si="23"/>
        <v>03070403</v>
      </c>
      <c r="F189" s="16" t="s">
        <v>1222</v>
      </c>
      <c r="G189" s="16" t="str">
        <f t="shared" si="27"/>
        <v>抽屉07U钻刀片</v>
      </c>
      <c r="H189" t="str">
        <f t="shared" si="24"/>
        <v>行号04</v>
      </c>
      <c r="I189" s="16" t="str">
        <f t="shared" si="25"/>
        <v>序号03</v>
      </c>
      <c r="J189" s="38"/>
      <c r="K189" s="41"/>
      <c r="L189" s="41"/>
      <c r="M189" s="19">
        <v>0</v>
      </c>
      <c r="N189" s="41">
        <v>0</v>
      </c>
      <c r="P189" s="33"/>
      <c r="Q189" s="33"/>
    </row>
    <row r="190" spans="1:17">
      <c r="A190" s="12" t="s">
        <v>18</v>
      </c>
      <c r="B190" s="13" t="s">
        <v>26</v>
      </c>
      <c r="C190" s="12" t="s">
        <v>20</v>
      </c>
      <c r="D190" s="18" t="s">
        <v>20</v>
      </c>
      <c r="E190" s="15" t="str">
        <f t="shared" si="23"/>
        <v>03070404</v>
      </c>
      <c r="F190" s="16" t="s">
        <v>1222</v>
      </c>
      <c r="G190" s="16" t="str">
        <f t="shared" si="27"/>
        <v>抽屉07U钻刀片</v>
      </c>
      <c r="H190" t="str">
        <f t="shared" si="24"/>
        <v>行号04</v>
      </c>
      <c r="I190" s="16" t="str">
        <f t="shared" si="25"/>
        <v>序号04</v>
      </c>
      <c r="J190" s="38"/>
      <c r="K190" s="41"/>
      <c r="L190" s="41"/>
      <c r="M190" s="19">
        <v>0</v>
      </c>
      <c r="N190" s="41">
        <v>0</v>
      </c>
      <c r="P190" s="33"/>
      <c r="Q190" s="33"/>
    </row>
    <row r="191" spans="1:17">
      <c r="A191" s="12" t="s">
        <v>18</v>
      </c>
      <c r="B191" s="13" t="s">
        <v>26</v>
      </c>
      <c r="C191" s="12" t="s">
        <v>20</v>
      </c>
      <c r="D191" s="18" t="s">
        <v>22</v>
      </c>
      <c r="E191" s="15" t="str">
        <f t="shared" si="23"/>
        <v>03070405</v>
      </c>
      <c r="F191" s="16" t="s">
        <v>1222</v>
      </c>
      <c r="G191" s="16" t="str">
        <f t="shared" si="27"/>
        <v>抽屉07U钻刀片</v>
      </c>
      <c r="H191" t="str">
        <f t="shared" si="24"/>
        <v>行号04</v>
      </c>
      <c r="I191" s="16" t="str">
        <f t="shared" si="25"/>
        <v>序号05</v>
      </c>
      <c r="J191" s="38"/>
      <c r="K191" s="41"/>
      <c r="L191" s="41"/>
      <c r="M191" s="19">
        <v>0</v>
      </c>
      <c r="N191" s="41">
        <v>0</v>
      </c>
      <c r="P191" s="33"/>
      <c r="Q191" s="33"/>
    </row>
    <row r="192" spans="1:17">
      <c r="A192" s="12" t="s">
        <v>18</v>
      </c>
      <c r="B192" s="13" t="s">
        <v>26</v>
      </c>
      <c r="C192" s="12" t="s">
        <v>20</v>
      </c>
      <c r="D192" s="18" t="s">
        <v>24</v>
      </c>
      <c r="E192" s="15" t="str">
        <f t="shared" si="23"/>
        <v>03070406</v>
      </c>
      <c r="F192" s="16" t="s">
        <v>1222</v>
      </c>
      <c r="G192" s="16" t="str">
        <f t="shared" si="27"/>
        <v>抽屉07U钻刀片</v>
      </c>
      <c r="H192" t="str">
        <f t="shared" si="24"/>
        <v>行号04</v>
      </c>
      <c r="I192" s="16" t="str">
        <f t="shared" si="25"/>
        <v>序号06</v>
      </c>
      <c r="J192" s="38"/>
      <c r="K192" s="41"/>
      <c r="L192" s="41"/>
      <c r="M192" s="19">
        <v>0</v>
      </c>
      <c r="N192" s="41">
        <v>0</v>
      </c>
      <c r="P192" s="33"/>
      <c r="Q192" s="33"/>
    </row>
    <row r="193" spans="1:17">
      <c r="A193" s="12" t="s">
        <v>18</v>
      </c>
      <c r="B193" s="13" t="s">
        <v>26</v>
      </c>
      <c r="C193" s="12" t="s">
        <v>20</v>
      </c>
      <c r="D193" s="18" t="s">
        <v>26</v>
      </c>
      <c r="E193" s="15" t="str">
        <f t="shared" si="23"/>
        <v>03070407</v>
      </c>
      <c r="F193" s="16" t="s">
        <v>1222</v>
      </c>
      <c r="G193" s="16" t="str">
        <f t="shared" si="27"/>
        <v>抽屉07U钻刀片</v>
      </c>
      <c r="H193" t="str">
        <f t="shared" si="24"/>
        <v>行号04</v>
      </c>
      <c r="I193" s="16" t="str">
        <f t="shared" si="25"/>
        <v>序号07</v>
      </c>
      <c r="J193" s="36" t="s">
        <v>310</v>
      </c>
      <c r="K193" s="39">
        <v>5</v>
      </c>
      <c r="L193" s="39">
        <v>5</v>
      </c>
      <c r="M193" s="39"/>
      <c r="N193" s="39"/>
      <c r="O193" s="23" t="s">
        <v>1236</v>
      </c>
      <c r="P193" s="33"/>
      <c r="Q193" s="33"/>
    </row>
    <row r="194" spans="1:17">
      <c r="A194" s="12" t="s">
        <v>18</v>
      </c>
      <c r="B194" s="13" t="s">
        <v>26</v>
      </c>
      <c r="C194" s="12" t="s">
        <v>20</v>
      </c>
      <c r="D194" s="18" t="s">
        <v>28</v>
      </c>
      <c r="E194" s="15" t="str">
        <f t="shared" si="23"/>
        <v>03070408</v>
      </c>
      <c r="F194" s="16" t="s">
        <v>1222</v>
      </c>
      <c r="G194" s="16" t="str">
        <f t="shared" si="27"/>
        <v>抽屉07U钻刀片</v>
      </c>
      <c r="H194" t="str">
        <f t="shared" si="24"/>
        <v>行号04</v>
      </c>
      <c r="I194" s="16" t="str">
        <f t="shared" si="25"/>
        <v>序号08</v>
      </c>
      <c r="J194" t="s">
        <v>311</v>
      </c>
      <c r="K194" s="39">
        <v>5</v>
      </c>
      <c r="L194" s="39">
        <v>5</v>
      </c>
      <c r="M194" s="39"/>
      <c r="N194" s="39"/>
      <c r="O194" s="23" t="s">
        <v>1236</v>
      </c>
      <c r="P194" s="33"/>
      <c r="Q194" s="33"/>
    </row>
    <row r="195" spans="1:17">
      <c r="A195" s="12" t="s">
        <v>18</v>
      </c>
      <c r="B195" s="12" t="s">
        <v>28</v>
      </c>
      <c r="C195" s="14" t="s">
        <v>14</v>
      </c>
      <c r="D195" s="12" t="s">
        <v>14</v>
      </c>
      <c r="E195" s="15" t="str">
        <f t="shared" si="23"/>
        <v>03080101</v>
      </c>
      <c r="F195" s="16" t="s">
        <v>1222</v>
      </c>
      <c r="G195" s="16" t="str">
        <f>"抽屉"&amp;B195&amp;"内孔车刀片"</f>
        <v>抽屉08内孔车刀片</v>
      </c>
      <c r="H195" t="str">
        <f t="shared" si="24"/>
        <v>行号01</v>
      </c>
      <c r="I195" s="16" t="str">
        <f t="shared" si="25"/>
        <v>序号01</v>
      </c>
      <c r="J195" s="29" t="s">
        <v>1277</v>
      </c>
      <c r="K195" s="39">
        <v>80</v>
      </c>
      <c r="L195" s="39">
        <v>80</v>
      </c>
      <c r="M195" s="51"/>
      <c r="N195" s="51"/>
      <c r="O195" s="23" t="s">
        <v>1236</v>
      </c>
      <c r="P195" s="33">
        <v>362026</v>
      </c>
      <c r="Q195" s="33">
        <v>51.46</v>
      </c>
    </row>
    <row r="196" spans="1:17">
      <c r="A196" s="12" t="s">
        <v>18</v>
      </c>
      <c r="B196" s="12" t="s">
        <v>28</v>
      </c>
      <c r="C196" s="14" t="s">
        <v>14</v>
      </c>
      <c r="D196" s="12" t="s">
        <v>18</v>
      </c>
      <c r="E196" s="15" t="str">
        <f t="shared" si="23"/>
        <v>03080103</v>
      </c>
      <c r="F196" s="16" t="s">
        <v>1222</v>
      </c>
      <c r="G196" s="16" t="str">
        <f t="shared" ref="G196:G215" si="28">"抽屉"&amp;B196&amp;"内孔车刀片"</f>
        <v>抽屉08内孔车刀片</v>
      </c>
      <c r="H196" t="str">
        <f t="shared" si="24"/>
        <v>行号01</v>
      </c>
      <c r="I196" s="16" t="str">
        <f t="shared" si="25"/>
        <v>序号03</v>
      </c>
      <c r="J196" t="s">
        <v>1286</v>
      </c>
      <c r="K196" s="39">
        <v>30</v>
      </c>
      <c r="L196" s="39">
        <v>50</v>
      </c>
      <c r="M196" s="39"/>
      <c r="N196" s="39"/>
      <c r="O196" s="23" t="s">
        <v>1236</v>
      </c>
      <c r="P196" s="33">
        <v>362921</v>
      </c>
      <c r="Q196" s="33">
        <v>59</v>
      </c>
    </row>
    <row r="197" spans="1:17">
      <c r="A197" s="12" t="s">
        <v>18</v>
      </c>
      <c r="B197" s="12" t="s">
        <v>28</v>
      </c>
      <c r="C197" s="14" t="s">
        <v>14</v>
      </c>
      <c r="D197" s="12" t="s">
        <v>20</v>
      </c>
      <c r="E197" s="15" t="str">
        <f t="shared" ref="E197:E261" si="29">A197&amp;B197&amp;C197&amp;D197</f>
        <v>03080104</v>
      </c>
      <c r="F197" s="16" t="s">
        <v>1222</v>
      </c>
      <c r="G197" s="16" t="str">
        <f t="shared" si="28"/>
        <v>抽屉08内孔车刀片</v>
      </c>
      <c r="H197" t="str">
        <f t="shared" ref="H197:H261" si="30">"行号"&amp;C197</f>
        <v>行号01</v>
      </c>
      <c r="I197" s="16" t="str">
        <f t="shared" ref="I197:I261" si="31">"序号"&amp;D197</f>
        <v>序号04</v>
      </c>
      <c r="J197" s="38"/>
      <c r="K197" s="41"/>
      <c r="L197" s="41"/>
      <c r="M197" s="19">
        <v>0</v>
      </c>
      <c r="N197" s="41">
        <v>0</v>
      </c>
      <c r="P197" s="33"/>
      <c r="Q197" s="33"/>
    </row>
    <row r="198" spans="1:17">
      <c r="A198" s="12" t="s">
        <v>18</v>
      </c>
      <c r="B198" s="12" t="s">
        <v>28</v>
      </c>
      <c r="C198" s="14" t="s">
        <v>14</v>
      </c>
      <c r="D198" s="12" t="s">
        <v>22</v>
      </c>
      <c r="E198" s="15" t="str">
        <f t="shared" si="29"/>
        <v>03080105</v>
      </c>
      <c r="F198" s="16" t="s">
        <v>1222</v>
      </c>
      <c r="G198" s="16" t="str">
        <f t="shared" si="28"/>
        <v>抽屉08内孔车刀片</v>
      </c>
      <c r="H198" t="str">
        <f t="shared" si="30"/>
        <v>行号01</v>
      </c>
      <c r="I198" s="16" t="str">
        <f t="shared" si="31"/>
        <v>序号05</v>
      </c>
      <c r="J198" s="38"/>
      <c r="K198" s="41"/>
      <c r="L198" s="41"/>
      <c r="M198" s="19">
        <v>0</v>
      </c>
      <c r="N198" s="41">
        <v>0</v>
      </c>
      <c r="P198" s="33"/>
      <c r="Q198" s="33"/>
    </row>
    <row r="199" spans="1:17">
      <c r="A199" s="12" t="s">
        <v>18</v>
      </c>
      <c r="B199" s="12" t="s">
        <v>28</v>
      </c>
      <c r="C199" s="14" t="s">
        <v>14</v>
      </c>
      <c r="D199" s="12" t="s">
        <v>24</v>
      </c>
      <c r="E199" s="15" t="str">
        <f t="shared" si="29"/>
        <v>03080106</v>
      </c>
      <c r="F199" s="16" t="s">
        <v>1222</v>
      </c>
      <c r="G199" s="16" t="str">
        <f t="shared" si="28"/>
        <v>抽屉08内孔车刀片</v>
      </c>
      <c r="H199" t="str">
        <f t="shared" si="30"/>
        <v>行号01</v>
      </c>
      <c r="I199" s="16" t="str">
        <f t="shared" si="31"/>
        <v>序号06</v>
      </c>
      <c r="J199" s="36" t="s">
        <v>313</v>
      </c>
      <c r="K199" s="39">
        <v>20</v>
      </c>
      <c r="L199" s="39">
        <v>30</v>
      </c>
      <c r="M199" s="39"/>
      <c r="N199" s="39"/>
      <c r="O199" s="23" t="s">
        <v>1236</v>
      </c>
      <c r="P199" s="33">
        <v>969124</v>
      </c>
      <c r="Q199" s="33">
        <v>73.2</v>
      </c>
    </row>
    <row r="200" spans="1:17">
      <c r="A200" s="12" t="s">
        <v>18</v>
      </c>
      <c r="B200" s="12" t="s">
        <v>28</v>
      </c>
      <c r="C200" s="14" t="s">
        <v>14</v>
      </c>
      <c r="D200" s="12" t="s">
        <v>26</v>
      </c>
      <c r="E200" s="15" t="str">
        <f t="shared" si="29"/>
        <v>03080107</v>
      </c>
      <c r="F200" s="16" t="s">
        <v>1222</v>
      </c>
      <c r="G200" s="16" t="str">
        <f t="shared" si="28"/>
        <v>抽屉08内孔车刀片</v>
      </c>
      <c r="H200" t="str">
        <f t="shared" si="30"/>
        <v>行号01</v>
      </c>
      <c r="I200" s="16" t="str">
        <f t="shared" si="31"/>
        <v>序号07</v>
      </c>
      <c r="J200" s="36" t="s">
        <v>314</v>
      </c>
      <c r="K200" s="39">
        <v>10</v>
      </c>
      <c r="L200" s="39">
        <v>20</v>
      </c>
      <c r="M200" s="39"/>
      <c r="N200" s="39"/>
      <c r="O200" s="23" t="s">
        <v>1236</v>
      </c>
      <c r="P200" s="33"/>
      <c r="Q200" s="33"/>
    </row>
    <row r="201" spans="1:17">
      <c r="A201" s="12" t="s">
        <v>18</v>
      </c>
      <c r="B201" s="12" t="s">
        <v>28</v>
      </c>
      <c r="C201" s="14" t="s">
        <v>14</v>
      </c>
      <c r="D201" s="12" t="s">
        <v>28</v>
      </c>
      <c r="E201" s="15" t="str">
        <f t="shared" si="29"/>
        <v>03080108</v>
      </c>
      <c r="F201" s="16" t="s">
        <v>1222</v>
      </c>
      <c r="G201" s="16" t="str">
        <f t="shared" si="28"/>
        <v>抽屉08内孔车刀片</v>
      </c>
      <c r="H201" t="str">
        <f t="shared" si="30"/>
        <v>行号01</v>
      </c>
      <c r="I201" s="16" t="str">
        <f t="shared" si="31"/>
        <v>序号08</v>
      </c>
      <c r="J201" s="38"/>
      <c r="K201" s="41"/>
      <c r="L201" s="41"/>
      <c r="M201" s="19">
        <v>0</v>
      </c>
      <c r="N201" s="41">
        <v>0</v>
      </c>
      <c r="P201" s="33"/>
      <c r="Q201" s="33"/>
    </row>
    <row r="202" spans="1:17">
      <c r="A202" s="12" t="s">
        <v>18</v>
      </c>
      <c r="B202" s="12" t="s">
        <v>28</v>
      </c>
      <c r="C202" s="12" t="s">
        <v>16</v>
      </c>
      <c r="D202" s="18" t="s">
        <v>14</v>
      </c>
      <c r="E202" s="15" t="str">
        <f t="shared" si="29"/>
        <v>03080201</v>
      </c>
      <c r="F202" s="16" t="s">
        <v>1222</v>
      </c>
      <c r="G202" s="16" t="str">
        <f t="shared" si="28"/>
        <v>抽屉08内孔车刀片</v>
      </c>
      <c r="H202" t="str">
        <f t="shared" si="30"/>
        <v>行号02</v>
      </c>
      <c r="I202" s="16" t="str">
        <f t="shared" si="31"/>
        <v>序号01</v>
      </c>
      <c r="J202" s="36" t="s">
        <v>315</v>
      </c>
      <c r="K202" s="39">
        <v>50</v>
      </c>
      <c r="L202" s="39">
        <v>50</v>
      </c>
      <c r="M202" s="39"/>
      <c r="N202" s="39"/>
      <c r="O202" s="23" t="s">
        <v>1236</v>
      </c>
      <c r="P202" s="33">
        <v>914862</v>
      </c>
      <c r="Q202" s="33">
        <v>59.5</v>
      </c>
    </row>
    <row r="203" spans="1:17">
      <c r="A203" s="12" t="s">
        <v>18</v>
      </c>
      <c r="B203" s="12" t="s">
        <v>28</v>
      </c>
      <c r="C203" s="12" t="s">
        <v>16</v>
      </c>
      <c r="D203" s="18" t="s">
        <v>16</v>
      </c>
      <c r="E203" s="15" t="str">
        <f t="shared" si="29"/>
        <v>03080202</v>
      </c>
      <c r="F203" s="16" t="s">
        <v>1222</v>
      </c>
      <c r="G203" s="16" t="str">
        <f t="shared" si="28"/>
        <v>抽屉08内孔车刀片</v>
      </c>
      <c r="H203" t="str">
        <f t="shared" si="30"/>
        <v>行号02</v>
      </c>
      <c r="I203" s="16" t="str">
        <f t="shared" si="31"/>
        <v>序号02</v>
      </c>
      <c r="J203" s="38"/>
      <c r="K203" s="41"/>
      <c r="L203" s="41"/>
      <c r="M203" s="19">
        <v>0</v>
      </c>
      <c r="N203" s="41">
        <v>0</v>
      </c>
      <c r="P203" s="33"/>
      <c r="Q203" s="33"/>
    </row>
    <row r="204" spans="1:17">
      <c r="A204" s="12" t="s">
        <v>18</v>
      </c>
      <c r="B204" s="12" t="s">
        <v>28</v>
      </c>
      <c r="C204" s="12" t="s">
        <v>16</v>
      </c>
      <c r="D204" s="18" t="s">
        <v>20</v>
      </c>
      <c r="E204" s="15" t="str">
        <f>A204&amp;B204&amp;C204&amp;D204</f>
        <v>03080204</v>
      </c>
      <c r="F204" s="16" t="s">
        <v>1222</v>
      </c>
      <c r="G204" s="16" t="str">
        <f t="shared" si="28"/>
        <v>抽屉08内孔车刀片</v>
      </c>
      <c r="H204" t="str">
        <f t="shared" si="30"/>
        <v>行号02</v>
      </c>
      <c r="I204" s="16" t="str">
        <f t="shared" si="31"/>
        <v>序号04</v>
      </c>
      <c r="J204" s="29" t="s">
        <v>317</v>
      </c>
      <c r="K204" s="39">
        <v>80</v>
      </c>
      <c r="L204" s="39">
        <v>80</v>
      </c>
      <c r="M204" s="39"/>
      <c r="N204" s="39"/>
      <c r="O204" s="23" t="s">
        <v>1236</v>
      </c>
      <c r="P204" s="33">
        <v>965121</v>
      </c>
      <c r="Q204" s="33"/>
    </row>
    <row r="205" spans="1:17">
      <c r="A205" s="12" t="s">
        <v>18</v>
      </c>
      <c r="B205" s="12" t="s">
        <v>28</v>
      </c>
      <c r="C205" s="12" t="s">
        <v>16</v>
      </c>
      <c r="D205" s="18" t="s">
        <v>22</v>
      </c>
      <c r="E205" s="15" t="str">
        <f t="shared" si="29"/>
        <v>03080205</v>
      </c>
      <c r="F205" s="16" t="s">
        <v>1222</v>
      </c>
      <c r="G205" s="16" t="str">
        <f t="shared" si="28"/>
        <v>抽屉08内孔车刀片</v>
      </c>
      <c r="H205" t="str">
        <f t="shared" si="30"/>
        <v>行号02</v>
      </c>
      <c r="I205" s="16" t="str">
        <f t="shared" si="31"/>
        <v>序号05</v>
      </c>
      <c r="J205" s="36" t="s">
        <v>346</v>
      </c>
      <c r="K205" s="39">
        <v>20</v>
      </c>
      <c r="L205" s="39">
        <v>30</v>
      </c>
      <c r="M205" s="39"/>
      <c r="N205" s="39"/>
      <c r="O205" s="23" t="s">
        <v>1236</v>
      </c>
      <c r="P205" s="33"/>
      <c r="Q205" s="33"/>
    </row>
    <row r="206" spans="1:17">
      <c r="A206" s="12" t="s">
        <v>18</v>
      </c>
      <c r="B206" s="12" t="s">
        <v>28</v>
      </c>
      <c r="C206" s="12" t="s">
        <v>16</v>
      </c>
      <c r="D206" s="18" t="s">
        <v>24</v>
      </c>
      <c r="E206" s="15" t="str">
        <f t="shared" si="29"/>
        <v>03080206</v>
      </c>
      <c r="F206" s="16" t="s">
        <v>1222</v>
      </c>
      <c r="G206" s="16" t="str">
        <f t="shared" si="28"/>
        <v>抽屉08内孔车刀片</v>
      </c>
      <c r="H206" t="str">
        <f t="shared" si="30"/>
        <v>行号02</v>
      </c>
      <c r="I206" s="16" t="str">
        <f t="shared" si="31"/>
        <v>序号06</v>
      </c>
      <c r="J206" s="36" t="s">
        <v>1309</v>
      </c>
      <c r="K206" s="39">
        <v>20</v>
      </c>
      <c r="L206" s="39">
        <v>30</v>
      </c>
      <c r="M206" s="39"/>
      <c r="N206" s="39"/>
      <c r="O206" s="23" t="s">
        <v>1236</v>
      </c>
      <c r="P206" s="33"/>
      <c r="Q206" s="33"/>
    </row>
    <row r="207" spans="1:17">
      <c r="A207" s="12" t="s">
        <v>18</v>
      </c>
      <c r="B207" s="12" t="s">
        <v>28</v>
      </c>
      <c r="C207" s="12" t="s">
        <v>16</v>
      </c>
      <c r="D207" s="18" t="s">
        <v>28</v>
      </c>
      <c r="E207" s="15" t="str">
        <f t="shared" si="29"/>
        <v>03080208</v>
      </c>
      <c r="F207" s="16" t="s">
        <v>1222</v>
      </c>
      <c r="G207" s="16" t="str">
        <f t="shared" si="28"/>
        <v>抽屉08内孔车刀片</v>
      </c>
      <c r="H207" t="str">
        <f t="shared" si="30"/>
        <v>行号02</v>
      </c>
      <c r="I207" s="16" t="str">
        <f t="shared" si="31"/>
        <v>序号08</v>
      </c>
      <c r="J207" s="38"/>
      <c r="K207" s="41"/>
      <c r="L207" s="41"/>
      <c r="M207" s="19">
        <v>0</v>
      </c>
      <c r="N207" s="41">
        <v>0</v>
      </c>
      <c r="P207" s="33"/>
      <c r="Q207" s="33"/>
    </row>
    <row r="208" spans="1:17">
      <c r="A208" s="12" t="s">
        <v>18</v>
      </c>
      <c r="B208" s="12" t="s">
        <v>28</v>
      </c>
      <c r="C208" s="14" t="s">
        <v>18</v>
      </c>
      <c r="D208" s="12" t="s">
        <v>14</v>
      </c>
      <c r="E208" s="15" t="str">
        <f t="shared" si="29"/>
        <v>03080301</v>
      </c>
      <c r="F208" s="16" t="s">
        <v>1222</v>
      </c>
      <c r="G208" s="16" t="str">
        <f t="shared" si="28"/>
        <v>抽屉08内孔车刀片</v>
      </c>
      <c r="H208" t="str">
        <f t="shared" si="30"/>
        <v>行号03</v>
      </c>
      <c r="I208" s="16" t="str">
        <f t="shared" si="31"/>
        <v>序号01</v>
      </c>
      <c r="J208" s="36" t="s">
        <v>319</v>
      </c>
      <c r="K208" s="39">
        <v>20</v>
      </c>
      <c r="L208" s="39">
        <v>30</v>
      </c>
      <c r="M208" s="39"/>
      <c r="N208" s="39"/>
      <c r="O208" s="23" t="s">
        <v>1236</v>
      </c>
      <c r="P208" s="33"/>
      <c r="Q208" s="33"/>
    </row>
    <row r="209" spans="1:17">
      <c r="A209" s="12" t="s">
        <v>18</v>
      </c>
      <c r="B209" s="12" t="s">
        <v>28</v>
      </c>
      <c r="C209" s="14" t="s">
        <v>18</v>
      </c>
      <c r="D209" s="12" t="s">
        <v>24</v>
      </c>
      <c r="E209" s="15" t="str">
        <f t="shared" si="29"/>
        <v>03080306</v>
      </c>
      <c r="F209" s="16" t="s">
        <v>1222</v>
      </c>
      <c r="G209" s="16" t="str">
        <f t="shared" si="28"/>
        <v>抽屉08内孔车刀片</v>
      </c>
      <c r="H209" t="str">
        <f t="shared" si="30"/>
        <v>行号03</v>
      </c>
      <c r="I209" s="16" t="str">
        <f t="shared" si="31"/>
        <v>序号06</v>
      </c>
      <c r="J209" s="36" t="s">
        <v>324</v>
      </c>
      <c r="K209" s="39">
        <v>10</v>
      </c>
      <c r="L209" s="39">
        <v>20</v>
      </c>
      <c r="M209" s="39"/>
      <c r="N209" s="39"/>
      <c r="O209" s="23" t="s">
        <v>1236</v>
      </c>
      <c r="P209" s="33"/>
      <c r="Q209" s="33"/>
    </row>
    <row r="210" spans="1:17">
      <c r="A210" s="12" t="s">
        <v>18</v>
      </c>
      <c r="B210" s="12" t="s">
        <v>28</v>
      </c>
      <c r="C210" s="14" t="s">
        <v>18</v>
      </c>
      <c r="D210" s="12" t="s">
        <v>26</v>
      </c>
      <c r="E210" s="15" t="str">
        <f t="shared" si="29"/>
        <v>03080307</v>
      </c>
      <c r="F210" s="16" t="s">
        <v>1222</v>
      </c>
      <c r="G210" s="16" t="str">
        <f t="shared" si="28"/>
        <v>抽屉08内孔车刀片</v>
      </c>
      <c r="H210" t="str">
        <f t="shared" si="30"/>
        <v>行号03</v>
      </c>
      <c r="I210" s="16" t="str">
        <f t="shared" si="31"/>
        <v>序号07</v>
      </c>
      <c r="J210" s="36" t="s">
        <v>325</v>
      </c>
      <c r="K210" s="39">
        <v>20</v>
      </c>
      <c r="L210" s="39">
        <v>30</v>
      </c>
      <c r="M210" s="39"/>
      <c r="N210" s="39"/>
      <c r="O210" s="23" t="s">
        <v>1235</v>
      </c>
      <c r="P210" s="33"/>
      <c r="Q210" s="33"/>
    </row>
    <row r="211" spans="1:17">
      <c r="A211" s="12" t="s">
        <v>18</v>
      </c>
      <c r="B211" s="12" t="s">
        <v>28</v>
      </c>
      <c r="C211" s="12" t="s">
        <v>20</v>
      </c>
      <c r="D211" s="18" t="s">
        <v>14</v>
      </c>
      <c r="E211" s="15" t="str">
        <f t="shared" si="29"/>
        <v>03080401</v>
      </c>
      <c r="F211" s="16" t="s">
        <v>1222</v>
      </c>
      <c r="G211" s="16" t="str">
        <f t="shared" si="28"/>
        <v>抽屉08内孔车刀片</v>
      </c>
      <c r="H211" t="str">
        <f t="shared" si="30"/>
        <v>行号04</v>
      </c>
      <c r="I211" s="16" t="str">
        <f t="shared" si="31"/>
        <v>序号01</v>
      </c>
      <c r="J211" s="36" t="s">
        <v>327</v>
      </c>
      <c r="K211" s="39">
        <v>20</v>
      </c>
      <c r="L211" s="39">
        <v>30</v>
      </c>
      <c r="M211" s="39"/>
      <c r="N211" s="39"/>
      <c r="O211" s="23" t="s">
        <v>1236</v>
      </c>
      <c r="P211" s="33"/>
      <c r="Q211" s="33"/>
    </row>
    <row r="212" spans="1:17">
      <c r="A212" s="12" t="s">
        <v>18</v>
      </c>
      <c r="B212" s="12" t="s">
        <v>28</v>
      </c>
      <c r="C212" s="12" t="s">
        <v>20</v>
      </c>
      <c r="D212" s="18" t="s">
        <v>22</v>
      </c>
      <c r="E212" s="15" t="str">
        <f t="shared" si="29"/>
        <v>03080405</v>
      </c>
      <c r="F212" s="16" t="s">
        <v>1222</v>
      </c>
      <c r="G212" s="16" t="str">
        <f t="shared" si="28"/>
        <v>抽屉08内孔车刀片</v>
      </c>
      <c r="H212" t="str">
        <f t="shared" si="30"/>
        <v>行号04</v>
      </c>
      <c r="I212" s="16" t="str">
        <f t="shared" si="31"/>
        <v>序号05</v>
      </c>
      <c r="J212" t="s">
        <v>331</v>
      </c>
      <c r="K212" s="39">
        <v>20</v>
      </c>
      <c r="L212" s="39">
        <v>30</v>
      </c>
      <c r="M212" s="39"/>
      <c r="N212" s="39"/>
      <c r="O212" s="23" t="s">
        <v>1237</v>
      </c>
      <c r="P212" s="33">
        <v>970547</v>
      </c>
      <c r="Q212" s="33"/>
    </row>
    <row r="213" spans="1:17">
      <c r="A213" s="12" t="s">
        <v>18</v>
      </c>
      <c r="B213" s="12" t="s">
        <v>28</v>
      </c>
      <c r="C213" s="12" t="s">
        <v>20</v>
      </c>
      <c r="D213" s="18" t="s">
        <v>24</v>
      </c>
      <c r="E213" s="15" t="str">
        <f t="shared" si="29"/>
        <v>03080406</v>
      </c>
      <c r="F213" s="16" t="s">
        <v>1222</v>
      </c>
      <c r="G213" s="16" t="str">
        <f t="shared" si="28"/>
        <v>抽屉08内孔车刀片</v>
      </c>
      <c r="H213" t="str">
        <f t="shared" si="30"/>
        <v>行号04</v>
      </c>
      <c r="I213" s="16" t="str">
        <f t="shared" si="31"/>
        <v>序号06</v>
      </c>
      <c r="J213" s="38"/>
      <c r="K213" s="41"/>
      <c r="L213" s="41"/>
      <c r="M213" s="19">
        <v>0</v>
      </c>
      <c r="N213" s="41">
        <v>0</v>
      </c>
      <c r="P213" s="33"/>
      <c r="Q213" s="33"/>
    </row>
    <row r="214" spans="1:17">
      <c r="A214" s="12" t="s">
        <v>18</v>
      </c>
      <c r="B214" s="12" t="s">
        <v>28</v>
      </c>
      <c r="C214" s="12" t="s">
        <v>20</v>
      </c>
      <c r="D214" s="18" t="s">
        <v>26</v>
      </c>
      <c r="E214" s="15" t="str">
        <f t="shared" si="29"/>
        <v>03080407</v>
      </c>
      <c r="F214" s="16" t="s">
        <v>1222</v>
      </c>
      <c r="G214" s="16" t="str">
        <f t="shared" si="28"/>
        <v>抽屉08内孔车刀片</v>
      </c>
      <c r="H214" t="str">
        <f t="shared" si="30"/>
        <v>行号04</v>
      </c>
      <c r="I214" s="16" t="str">
        <f t="shared" si="31"/>
        <v>序号07</v>
      </c>
      <c r="J214" s="49" t="s">
        <v>332</v>
      </c>
      <c r="K214" s="39">
        <v>80</v>
      </c>
      <c r="L214" s="39">
        <v>80</v>
      </c>
      <c r="M214" s="39"/>
      <c r="N214" s="39"/>
      <c r="O214" s="23" t="s">
        <v>1236</v>
      </c>
      <c r="P214" s="33">
        <v>773908</v>
      </c>
      <c r="Q214" s="33"/>
    </row>
    <row r="215" spans="1:17">
      <c r="A215" s="12" t="s">
        <v>18</v>
      </c>
      <c r="B215" s="12" t="s">
        <v>28</v>
      </c>
      <c r="C215" s="12" t="s">
        <v>20</v>
      </c>
      <c r="D215" s="18" t="s">
        <v>28</v>
      </c>
      <c r="E215" s="15" t="str">
        <f t="shared" si="29"/>
        <v>03080408</v>
      </c>
      <c r="F215" s="16" t="s">
        <v>1222</v>
      </c>
      <c r="G215" s="16" t="str">
        <f t="shared" si="28"/>
        <v>抽屉08内孔车刀片</v>
      </c>
      <c r="H215" t="str">
        <f t="shared" si="30"/>
        <v>行号04</v>
      </c>
      <c r="I215" s="16" t="str">
        <f t="shared" si="31"/>
        <v>序号08</v>
      </c>
      <c r="J215" s="24"/>
      <c r="K215" s="41"/>
      <c r="L215" s="41"/>
      <c r="M215" s="19">
        <v>0</v>
      </c>
      <c r="N215" s="41">
        <v>0</v>
      </c>
      <c r="P215" s="33"/>
      <c r="Q215" s="33"/>
    </row>
    <row r="216" spans="1:17">
      <c r="A216" s="12" t="s">
        <v>18</v>
      </c>
      <c r="B216" s="12" t="s">
        <v>333</v>
      </c>
      <c r="C216" s="14" t="s">
        <v>14</v>
      </c>
      <c r="D216" s="12" t="s">
        <v>14</v>
      </c>
      <c r="E216" s="15" t="str">
        <f t="shared" si="29"/>
        <v>03090101</v>
      </c>
      <c r="F216" s="16" t="s">
        <v>1222</v>
      </c>
      <c r="G216" s="16" t="str">
        <f>"抽屉"&amp;B216&amp;"内孔车刀片"</f>
        <v>抽屉09内孔车刀片</v>
      </c>
      <c r="H216" t="str">
        <f t="shared" si="30"/>
        <v>行号01</v>
      </c>
      <c r="I216" s="16" t="str">
        <f t="shared" si="31"/>
        <v>序号01</v>
      </c>
      <c r="J216" s="36" t="s">
        <v>334</v>
      </c>
      <c r="K216" s="39">
        <v>0</v>
      </c>
      <c r="L216" s="39">
        <v>50</v>
      </c>
      <c r="M216" s="39"/>
      <c r="N216" s="39"/>
      <c r="O216" s="23" t="s">
        <v>1247</v>
      </c>
      <c r="P216" s="33"/>
      <c r="Q216" s="33"/>
    </row>
    <row r="217" spans="1:17">
      <c r="A217" s="12" t="s">
        <v>18</v>
      </c>
      <c r="B217" s="12" t="s">
        <v>333</v>
      </c>
      <c r="C217" s="14" t="s">
        <v>14</v>
      </c>
      <c r="D217" s="12" t="s">
        <v>16</v>
      </c>
      <c r="E217" s="15" t="str">
        <f t="shared" si="29"/>
        <v>03090102</v>
      </c>
      <c r="F217" s="16" t="s">
        <v>1222</v>
      </c>
      <c r="G217" s="16" t="str">
        <f t="shared" ref="G217:G236" si="32">"抽屉"&amp;B217&amp;"内孔车刀片"</f>
        <v>抽屉09内孔车刀片</v>
      </c>
      <c r="H217" t="str">
        <f t="shared" si="30"/>
        <v>行号01</v>
      </c>
      <c r="I217" s="16" t="str">
        <f t="shared" si="31"/>
        <v>序号02</v>
      </c>
      <c r="J217" s="36" t="s">
        <v>335</v>
      </c>
      <c r="K217" s="39">
        <v>30</v>
      </c>
      <c r="L217" s="39">
        <v>30</v>
      </c>
      <c r="M217" s="39"/>
      <c r="N217" s="39"/>
      <c r="O217" s="23" t="s">
        <v>1236</v>
      </c>
      <c r="P217" s="33">
        <v>969451</v>
      </c>
      <c r="Q217" s="33"/>
    </row>
    <row r="218" spans="1:17">
      <c r="A218" s="12" t="s">
        <v>18</v>
      </c>
      <c r="B218" s="12" t="s">
        <v>333</v>
      </c>
      <c r="C218" s="14" t="s">
        <v>14</v>
      </c>
      <c r="D218" s="12" t="s">
        <v>18</v>
      </c>
      <c r="E218" s="15" t="str">
        <f t="shared" si="29"/>
        <v>03090103</v>
      </c>
      <c r="F218" s="16" t="s">
        <v>1222</v>
      </c>
      <c r="G218" s="16" t="str">
        <f t="shared" si="32"/>
        <v>抽屉09内孔车刀片</v>
      </c>
      <c r="H218" t="str">
        <f t="shared" si="30"/>
        <v>行号01</v>
      </c>
      <c r="I218" s="16" t="str">
        <f t="shared" si="31"/>
        <v>序号03</v>
      </c>
      <c r="J218" s="36" t="s">
        <v>336</v>
      </c>
      <c r="K218" s="39">
        <v>30</v>
      </c>
      <c r="L218" s="39">
        <v>30</v>
      </c>
      <c r="M218" s="39"/>
      <c r="N218" s="39"/>
      <c r="O218" s="23" t="s">
        <v>1247</v>
      </c>
      <c r="P218" s="33">
        <v>996925</v>
      </c>
      <c r="Q218" s="33">
        <v>33.21</v>
      </c>
    </row>
    <row r="219" spans="1:17">
      <c r="A219" s="12" t="s">
        <v>18</v>
      </c>
      <c r="B219" s="12" t="s">
        <v>333</v>
      </c>
      <c r="C219" s="14" t="s">
        <v>14</v>
      </c>
      <c r="D219" s="12" t="s">
        <v>20</v>
      </c>
      <c r="E219" s="15" t="str">
        <f t="shared" si="29"/>
        <v>03090104</v>
      </c>
      <c r="F219" s="16" t="s">
        <v>1222</v>
      </c>
      <c r="G219" s="16" t="str">
        <f t="shared" si="32"/>
        <v>抽屉09内孔车刀片</v>
      </c>
      <c r="H219" t="str">
        <f t="shared" si="30"/>
        <v>行号01</v>
      </c>
      <c r="I219" s="16" t="str">
        <f t="shared" si="31"/>
        <v>序号04</v>
      </c>
      <c r="J219" t="s">
        <v>1287</v>
      </c>
      <c r="K219" s="39">
        <v>30</v>
      </c>
      <c r="L219" s="39">
        <v>30</v>
      </c>
      <c r="M219" s="39"/>
      <c r="N219" s="39"/>
      <c r="O219" s="23" t="s">
        <v>1250</v>
      </c>
      <c r="P219" s="33"/>
      <c r="Q219" s="33"/>
    </row>
    <row r="220" spans="1:17">
      <c r="A220" s="12" t="s">
        <v>18</v>
      </c>
      <c r="B220" s="12" t="s">
        <v>333</v>
      </c>
      <c r="C220" s="14" t="s">
        <v>14</v>
      </c>
      <c r="D220" s="12" t="s">
        <v>22</v>
      </c>
      <c r="E220" s="15" t="str">
        <f t="shared" si="29"/>
        <v>03090105</v>
      </c>
      <c r="F220" s="16" t="s">
        <v>1222</v>
      </c>
      <c r="G220" s="16" t="str">
        <f t="shared" si="32"/>
        <v>抽屉09内孔车刀片</v>
      </c>
      <c r="H220" t="str">
        <f t="shared" si="30"/>
        <v>行号01</v>
      </c>
      <c r="I220" s="16" t="str">
        <f t="shared" si="31"/>
        <v>序号05</v>
      </c>
      <c r="J220" t="s">
        <v>337</v>
      </c>
      <c r="K220" s="39">
        <v>30</v>
      </c>
      <c r="L220" s="39">
        <v>30</v>
      </c>
      <c r="M220" s="39"/>
      <c r="N220" s="39"/>
      <c r="O220" s="23" t="s">
        <v>1236</v>
      </c>
      <c r="P220" s="33"/>
      <c r="Q220" s="33"/>
    </row>
    <row r="221" spans="1:17">
      <c r="A221" s="12" t="s">
        <v>18</v>
      </c>
      <c r="B221" s="12" t="s">
        <v>333</v>
      </c>
      <c r="C221" s="14" t="s">
        <v>14</v>
      </c>
      <c r="D221" s="12" t="s">
        <v>26</v>
      </c>
      <c r="E221" s="15" t="str">
        <f t="shared" si="29"/>
        <v>03090107</v>
      </c>
      <c r="F221" s="16" t="s">
        <v>1222</v>
      </c>
      <c r="G221" s="16" t="str">
        <f t="shared" si="32"/>
        <v>抽屉09内孔车刀片</v>
      </c>
      <c r="H221" t="str">
        <f t="shared" si="30"/>
        <v>行号01</v>
      </c>
      <c r="I221" s="16" t="str">
        <f t="shared" si="31"/>
        <v>序号07</v>
      </c>
      <c r="J221" s="38"/>
      <c r="K221" s="41"/>
      <c r="L221" s="41"/>
      <c r="M221" s="19">
        <v>0</v>
      </c>
      <c r="N221" s="41">
        <v>0</v>
      </c>
      <c r="P221" s="33"/>
      <c r="Q221" s="33"/>
    </row>
    <row r="222" spans="1:17">
      <c r="A222" s="12" t="s">
        <v>18</v>
      </c>
      <c r="B222" s="12" t="s">
        <v>333</v>
      </c>
      <c r="C222" s="14" t="s">
        <v>14</v>
      </c>
      <c r="D222" s="12" t="s">
        <v>28</v>
      </c>
      <c r="E222" s="15" t="str">
        <f t="shared" si="29"/>
        <v>03090108</v>
      </c>
      <c r="F222" s="16" t="s">
        <v>1222</v>
      </c>
      <c r="G222" s="16" t="str">
        <f t="shared" si="32"/>
        <v>抽屉09内孔车刀片</v>
      </c>
      <c r="H222" t="str">
        <f t="shared" si="30"/>
        <v>行号01</v>
      </c>
      <c r="I222" s="16" t="str">
        <f t="shared" si="31"/>
        <v>序号08</v>
      </c>
      <c r="J222" s="38"/>
      <c r="K222" s="41"/>
      <c r="L222" s="41"/>
      <c r="M222" s="19">
        <v>0</v>
      </c>
      <c r="N222" s="41">
        <v>0</v>
      </c>
      <c r="P222" s="33"/>
      <c r="Q222" s="33"/>
    </row>
    <row r="223" spans="1:17">
      <c r="A223" s="12" t="s">
        <v>18</v>
      </c>
      <c r="B223" s="12" t="s">
        <v>333</v>
      </c>
      <c r="C223" s="12" t="s">
        <v>16</v>
      </c>
      <c r="D223" s="18" t="s">
        <v>14</v>
      </c>
      <c r="E223" s="15" t="str">
        <f t="shared" si="29"/>
        <v>03090201</v>
      </c>
      <c r="F223" s="16" t="s">
        <v>1222</v>
      </c>
      <c r="G223" s="16" t="str">
        <f t="shared" si="32"/>
        <v>抽屉09内孔车刀片</v>
      </c>
      <c r="H223" t="str">
        <f t="shared" si="30"/>
        <v>行号02</v>
      </c>
      <c r="I223" s="16" t="str">
        <f t="shared" si="31"/>
        <v>序号01</v>
      </c>
      <c r="J223" t="s">
        <v>339</v>
      </c>
      <c r="K223" s="39">
        <v>20</v>
      </c>
      <c r="L223" s="39">
        <v>30</v>
      </c>
      <c r="M223" s="39"/>
      <c r="N223" s="39"/>
      <c r="O223" s="23" t="s">
        <v>1247</v>
      </c>
      <c r="P223" s="33">
        <v>969125</v>
      </c>
      <c r="Q223" s="33">
        <v>51.78</v>
      </c>
    </row>
    <row r="224" spans="1:17">
      <c r="A224" s="12" t="s">
        <v>18</v>
      </c>
      <c r="B224" s="12" t="s">
        <v>333</v>
      </c>
      <c r="C224" s="12" t="s">
        <v>16</v>
      </c>
      <c r="D224" s="18" t="s">
        <v>16</v>
      </c>
      <c r="E224" s="15" t="str">
        <f t="shared" si="29"/>
        <v>03090202</v>
      </c>
      <c r="F224" s="16" t="s">
        <v>1222</v>
      </c>
      <c r="G224" s="16" t="str">
        <f t="shared" si="32"/>
        <v>抽屉09内孔车刀片</v>
      </c>
      <c r="H224" t="str">
        <f t="shared" si="30"/>
        <v>行号02</v>
      </c>
      <c r="I224" s="16" t="str">
        <f t="shared" si="31"/>
        <v>序号02</v>
      </c>
      <c r="J224" t="s">
        <v>340</v>
      </c>
      <c r="K224" s="39">
        <v>30</v>
      </c>
      <c r="L224" s="39">
        <v>30</v>
      </c>
      <c r="M224" s="39"/>
      <c r="N224" s="39"/>
      <c r="O224" s="23" t="s">
        <v>1247</v>
      </c>
      <c r="P224" s="33">
        <v>968952</v>
      </c>
      <c r="Q224" s="33">
        <v>33.11</v>
      </c>
    </row>
    <row r="225" spans="1:17">
      <c r="A225" s="12" t="s">
        <v>18</v>
      </c>
      <c r="B225" s="12" t="s">
        <v>333</v>
      </c>
      <c r="C225" s="12" t="s">
        <v>16</v>
      </c>
      <c r="D225" s="18" t="s">
        <v>18</v>
      </c>
      <c r="E225" s="15" t="str">
        <f t="shared" si="29"/>
        <v>03090203</v>
      </c>
      <c r="F225" s="16" t="s">
        <v>1222</v>
      </c>
      <c r="G225" s="16" t="str">
        <f t="shared" si="32"/>
        <v>抽屉09内孔车刀片</v>
      </c>
      <c r="H225" t="str">
        <f t="shared" si="30"/>
        <v>行号02</v>
      </c>
      <c r="I225" s="16" t="str">
        <f t="shared" si="31"/>
        <v>序号03</v>
      </c>
      <c r="J225" t="s">
        <v>1288</v>
      </c>
      <c r="K225" s="39">
        <v>20</v>
      </c>
      <c r="L225" s="39">
        <v>30</v>
      </c>
      <c r="M225" s="39"/>
      <c r="N225" s="39"/>
      <c r="O225" s="23" t="s">
        <v>1251</v>
      </c>
      <c r="P225" s="33"/>
      <c r="Q225" s="33"/>
    </row>
    <row r="226" spans="1:17">
      <c r="A226" s="12" t="s">
        <v>18</v>
      </c>
      <c r="B226" s="12" t="s">
        <v>333</v>
      </c>
      <c r="C226" s="12" t="s">
        <v>16</v>
      </c>
      <c r="D226" s="18" t="s">
        <v>20</v>
      </c>
      <c r="E226" s="15" t="str">
        <f t="shared" si="29"/>
        <v>03090204</v>
      </c>
      <c r="F226" s="16" t="s">
        <v>1222</v>
      </c>
      <c r="G226" s="16" t="str">
        <f t="shared" si="32"/>
        <v>抽屉09内孔车刀片</v>
      </c>
      <c r="H226" t="str">
        <f t="shared" si="30"/>
        <v>行号02</v>
      </c>
      <c r="I226" s="16" t="str">
        <f t="shared" si="31"/>
        <v>序号04</v>
      </c>
      <c r="J226" t="s">
        <v>1289</v>
      </c>
      <c r="K226" s="39">
        <v>30</v>
      </c>
      <c r="L226" s="39">
        <v>50</v>
      </c>
      <c r="M226" s="39"/>
      <c r="N226" s="39"/>
      <c r="O226" s="23" t="s">
        <v>1250</v>
      </c>
      <c r="P226" s="33">
        <v>714238</v>
      </c>
      <c r="Q226" s="33">
        <v>133.9</v>
      </c>
    </row>
    <row r="227" spans="1:17">
      <c r="A227" s="12" t="s">
        <v>18</v>
      </c>
      <c r="B227" s="12" t="s">
        <v>333</v>
      </c>
      <c r="C227" s="12" t="s">
        <v>16</v>
      </c>
      <c r="D227" s="18" t="s">
        <v>22</v>
      </c>
      <c r="E227" s="15" t="str">
        <f t="shared" si="29"/>
        <v>03090205</v>
      </c>
      <c r="F227" s="16" t="s">
        <v>1222</v>
      </c>
      <c r="G227" s="16" t="str">
        <f t="shared" si="32"/>
        <v>抽屉09内孔车刀片</v>
      </c>
      <c r="H227" t="str">
        <f t="shared" si="30"/>
        <v>行号02</v>
      </c>
      <c r="I227" s="16" t="str">
        <f t="shared" si="31"/>
        <v>序号05</v>
      </c>
      <c r="J227" s="36" t="s">
        <v>341</v>
      </c>
      <c r="K227" s="39">
        <v>30</v>
      </c>
      <c r="L227" s="39">
        <v>50</v>
      </c>
      <c r="M227" s="39"/>
      <c r="N227" s="39"/>
      <c r="O227" s="23" t="s">
        <v>1247</v>
      </c>
      <c r="P227" s="33">
        <v>967343</v>
      </c>
      <c r="Q227" s="33"/>
    </row>
    <row r="228" spans="1:17">
      <c r="A228" s="12" t="s">
        <v>18</v>
      </c>
      <c r="B228" s="12" t="s">
        <v>333</v>
      </c>
      <c r="C228" s="12" t="s">
        <v>16</v>
      </c>
      <c r="D228" s="18" t="s">
        <v>24</v>
      </c>
      <c r="E228" s="15" t="str">
        <f t="shared" si="29"/>
        <v>03090206</v>
      </c>
      <c r="F228" s="16" t="s">
        <v>1222</v>
      </c>
      <c r="G228" s="16" t="str">
        <f t="shared" si="32"/>
        <v>抽屉09内孔车刀片</v>
      </c>
      <c r="H228" t="str">
        <f t="shared" si="30"/>
        <v>行号02</v>
      </c>
      <c r="I228" s="16" t="str">
        <f t="shared" si="31"/>
        <v>序号06</v>
      </c>
      <c r="J228" s="36" t="s">
        <v>342</v>
      </c>
      <c r="K228" s="39">
        <v>30</v>
      </c>
      <c r="L228" s="39">
        <v>50</v>
      </c>
      <c r="M228" s="39"/>
      <c r="N228" s="39"/>
      <c r="O228" s="23" t="s">
        <v>1247</v>
      </c>
      <c r="P228" s="33"/>
      <c r="Q228" s="33"/>
    </row>
    <row r="229" spans="1:17">
      <c r="A229" s="12" t="s">
        <v>18</v>
      </c>
      <c r="B229" s="12" t="s">
        <v>333</v>
      </c>
      <c r="C229" s="12" t="s">
        <v>16</v>
      </c>
      <c r="D229" s="18" t="s">
        <v>26</v>
      </c>
      <c r="E229" s="15" t="str">
        <f t="shared" si="29"/>
        <v>03090207</v>
      </c>
      <c r="F229" s="16" t="s">
        <v>1222</v>
      </c>
      <c r="G229" s="16" t="str">
        <f t="shared" si="32"/>
        <v>抽屉09内孔车刀片</v>
      </c>
      <c r="H229" t="str">
        <f t="shared" si="30"/>
        <v>行号02</v>
      </c>
      <c r="I229" s="16" t="str">
        <f t="shared" si="31"/>
        <v>序号07</v>
      </c>
      <c r="J229" s="36" t="s">
        <v>343</v>
      </c>
      <c r="K229" s="39">
        <v>30</v>
      </c>
      <c r="L229" s="39">
        <v>50</v>
      </c>
      <c r="M229" s="39"/>
      <c r="N229" s="39"/>
      <c r="O229" s="23" t="s">
        <v>1247</v>
      </c>
      <c r="P229" s="33">
        <v>968950</v>
      </c>
      <c r="Q229" s="33">
        <v>48.36</v>
      </c>
    </row>
    <row r="230" spans="1:17">
      <c r="A230" s="12" t="s">
        <v>18</v>
      </c>
      <c r="B230" s="12" t="s">
        <v>333</v>
      </c>
      <c r="C230" s="12" t="s">
        <v>16</v>
      </c>
      <c r="D230" s="18" t="s">
        <v>28</v>
      </c>
      <c r="E230" s="15" t="str">
        <f t="shared" si="29"/>
        <v>03090208</v>
      </c>
      <c r="F230" s="16" t="s">
        <v>1222</v>
      </c>
      <c r="G230" s="16" t="str">
        <f t="shared" si="32"/>
        <v>抽屉09内孔车刀片</v>
      </c>
      <c r="H230" t="str">
        <f t="shared" si="30"/>
        <v>行号02</v>
      </c>
      <c r="I230" s="16" t="str">
        <f t="shared" si="31"/>
        <v>序号08</v>
      </c>
      <c r="J230" s="36" t="s">
        <v>344</v>
      </c>
      <c r="K230" s="39">
        <v>30</v>
      </c>
      <c r="L230" s="39">
        <v>50</v>
      </c>
      <c r="M230" s="39"/>
      <c r="N230" s="39"/>
      <c r="O230" s="23" t="s">
        <v>1250</v>
      </c>
      <c r="P230" s="33">
        <v>739012</v>
      </c>
      <c r="Q230" s="33"/>
    </row>
    <row r="231" spans="1:17">
      <c r="A231" s="12" t="s">
        <v>18</v>
      </c>
      <c r="B231" s="12" t="s">
        <v>333</v>
      </c>
      <c r="C231" s="14" t="s">
        <v>18</v>
      </c>
      <c r="D231" s="12" t="s">
        <v>16</v>
      </c>
      <c r="E231" s="15" t="str">
        <f t="shared" si="29"/>
        <v>03090302</v>
      </c>
      <c r="F231" s="16" t="s">
        <v>1222</v>
      </c>
      <c r="G231" s="16" t="str">
        <f t="shared" si="32"/>
        <v>抽屉09内孔车刀片</v>
      </c>
      <c r="H231" t="str">
        <f t="shared" si="30"/>
        <v>行号03</v>
      </c>
      <c r="I231" s="16" t="str">
        <f t="shared" si="31"/>
        <v>序号02</v>
      </c>
      <c r="J231" s="24"/>
      <c r="K231" s="19"/>
      <c r="L231" s="19"/>
      <c r="M231" s="19">
        <v>0</v>
      </c>
      <c r="N231" s="19">
        <v>0</v>
      </c>
      <c r="P231" s="33"/>
      <c r="Q231" s="33"/>
    </row>
    <row r="232" spans="1:17">
      <c r="A232" s="12" t="s">
        <v>18</v>
      </c>
      <c r="B232" s="12" t="s">
        <v>333</v>
      </c>
      <c r="C232" s="14" t="s">
        <v>18</v>
      </c>
      <c r="D232" s="12" t="s">
        <v>20</v>
      </c>
      <c r="E232" s="15" t="str">
        <f t="shared" si="29"/>
        <v>03090304</v>
      </c>
      <c r="F232" s="16" t="s">
        <v>1222</v>
      </c>
      <c r="G232" s="16" t="str">
        <f t="shared" si="32"/>
        <v>抽屉09内孔车刀片</v>
      </c>
      <c r="H232" t="str">
        <f t="shared" si="30"/>
        <v>行号03</v>
      </c>
      <c r="I232" s="16" t="str">
        <f t="shared" si="31"/>
        <v>序号04</v>
      </c>
      <c r="J232" t="s">
        <v>1290</v>
      </c>
      <c r="K232" s="39">
        <v>0</v>
      </c>
      <c r="L232" s="39">
        <v>0</v>
      </c>
      <c r="M232" s="39"/>
      <c r="N232" s="39"/>
      <c r="O232" s="23" t="s">
        <v>1236</v>
      </c>
      <c r="P232" s="33"/>
      <c r="Q232" s="33"/>
    </row>
    <row r="233" spans="1:17">
      <c r="A233" s="12" t="s">
        <v>18</v>
      </c>
      <c r="B233" s="12" t="s">
        <v>333</v>
      </c>
      <c r="C233" s="12" t="s">
        <v>20</v>
      </c>
      <c r="D233" s="18" t="s">
        <v>22</v>
      </c>
      <c r="E233" s="15" t="str">
        <f t="shared" si="29"/>
        <v>03090405</v>
      </c>
      <c r="F233" s="16" t="s">
        <v>1222</v>
      </c>
      <c r="G233" s="16" t="str">
        <f t="shared" si="32"/>
        <v>抽屉09内孔车刀片</v>
      </c>
      <c r="H233" t="str">
        <f t="shared" si="30"/>
        <v>行号04</v>
      </c>
      <c r="I233" s="16" t="str">
        <f t="shared" si="31"/>
        <v>序号05</v>
      </c>
      <c r="J233" t="s">
        <v>348</v>
      </c>
      <c r="K233" s="39">
        <v>20</v>
      </c>
      <c r="L233" s="39">
        <v>30</v>
      </c>
      <c r="M233" s="39"/>
      <c r="N233" s="39"/>
      <c r="O233" s="23" t="s">
        <v>1247</v>
      </c>
      <c r="P233" s="33">
        <v>996920</v>
      </c>
      <c r="Q233" s="33">
        <v>49.7</v>
      </c>
    </row>
    <row r="234" spans="1:17">
      <c r="A234" s="12" t="s">
        <v>18</v>
      </c>
      <c r="B234" s="12" t="s">
        <v>333</v>
      </c>
      <c r="C234" s="12" t="s">
        <v>20</v>
      </c>
      <c r="D234" s="18" t="s">
        <v>24</v>
      </c>
      <c r="E234" s="15" t="str">
        <f t="shared" si="29"/>
        <v>03090406</v>
      </c>
      <c r="F234" s="16" t="s">
        <v>1222</v>
      </c>
      <c r="G234" s="16" t="str">
        <f t="shared" si="32"/>
        <v>抽屉09内孔车刀片</v>
      </c>
      <c r="H234" t="str">
        <f t="shared" si="30"/>
        <v>行号04</v>
      </c>
      <c r="I234" s="16" t="str">
        <f t="shared" si="31"/>
        <v>序号06</v>
      </c>
      <c r="J234" s="36" t="s">
        <v>349</v>
      </c>
      <c r="K234" s="39">
        <v>10</v>
      </c>
      <c r="L234" s="39">
        <v>30</v>
      </c>
      <c r="M234" s="39"/>
      <c r="N234" s="39"/>
      <c r="O234" s="23" t="s">
        <v>1236</v>
      </c>
      <c r="P234" s="33"/>
      <c r="Q234" s="33"/>
    </row>
    <row r="235" spans="1:17">
      <c r="A235" s="12" t="s">
        <v>18</v>
      </c>
      <c r="B235" s="12" t="s">
        <v>333</v>
      </c>
      <c r="C235" s="12" t="s">
        <v>20</v>
      </c>
      <c r="D235" s="18" t="s">
        <v>26</v>
      </c>
      <c r="E235" s="15" t="str">
        <f t="shared" ref="E235" si="33">A235&amp;B235&amp;C235&amp;D235</f>
        <v>03090407</v>
      </c>
      <c r="F235" s="16" t="s">
        <v>1222</v>
      </c>
      <c r="G235" s="16" t="str">
        <f t="shared" ref="G235" si="34">"抽屉"&amp;B235&amp;"内孔车刀片"</f>
        <v>抽屉09内孔车刀片</v>
      </c>
      <c r="H235" t="str">
        <f t="shared" ref="H235" si="35">"行号"&amp;C235</f>
        <v>行号04</v>
      </c>
      <c r="I235" s="16" t="str">
        <f t="shared" ref="I235" si="36">"序号"&amp;D235</f>
        <v>序号07</v>
      </c>
      <c r="J235" s="36" t="s">
        <v>350</v>
      </c>
      <c r="K235" s="39">
        <v>10</v>
      </c>
      <c r="L235" s="39">
        <v>30</v>
      </c>
      <c r="M235" s="39"/>
      <c r="N235" s="39"/>
      <c r="O235" s="23" t="s">
        <v>1236</v>
      </c>
      <c r="P235" s="33"/>
      <c r="Q235" s="33"/>
    </row>
    <row r="236" spans="1:17">
      <c r="A236" s="12" t="s">
        <v>18</v>
      </c>
      <c r="B236" s="12" t="s">
        <v>333</v>
      </c>
      <c r="C236" s="12" t="s">
        <v>20</v>
      </c>
      <c r="D236" s="18" t="s">
        <v>28</v>
      </c>
      <c r="E236" s="15" t="str">
        <f t="shared" si="29"/>
        <v>03090408</v>
      </c>
      <c r="F236" s="16" t="s">
        <v>1222</v>
      </c>
      <c r="G236" s="16" t="str">
        <f t="shared" si="32"/>
        <v>抽屉09内孔车刀片</v>
      </c>
      <c r="H236" t="str">
        <f t="shared" si="30"/>
        <v>行号04</v>
      </c>
      <c r="I236" s="16" t="str">
        <f t="shared" si="31"/>
        <v>序号08</v>
      </c>
      <c r="J236" s="36" t="s">
        <v>351</v>
      </c>
      <c r="K236" s="39">
        <v>20</v>
      </c>
      <c r="L236" s="39">
        <v>30</v>
      </c>
      <c r="M236" s="39"/>
      <c r="N236" s="39"/>
      <c r="O236" s="23" t="s">
        <v>1237</v>
      </c>
      <c r="P236" s="52">
        <v>969419</v>
      </c>
      <c r="Q236" s="33"/>
    </row>
    <row r="237" spans="1:17">
      <c r="A237" s="12" t="s">
        <v>18</v>
      </c>
      <c r="B237" s="12" t="s">
        <v>352</v>
      </c>
      <c r="C237" s="14" t="s">
        <v>14</v>
      </c>
      <c r="D237" s="12" t="s">
        <v>24</v>
      </c>
      <c r="E237" s="15" t="str">
        <f t="shared" si="29"/>
        <v>030100106</v>
      </c>
      <c r="F237" s="16" t="s">
        <v>1222</v>
      </c>
      <c r="G237" s="16" t="str">
        <f>"抽屉"&amp;B237&amp;"内螺纹刀片"</f>
        <v>抽屉010内螺纹刀片</v>
      </c>
      <c r="H237" t="str">
        <f t="shared" si="30"/>
        <v>行号01</v>
      </c>
      <c r="I237" s="16" t="str">
        <f t="shared" si="31"/>
        <v>序号06</v>
      </c>
      <c r="J237" t="s">
        <v>358</v>
      </c>
      <c r="K237" s="39">
        <v>0</v>
      </c>
      <c r="L237" s="39">
        <v>20</v>
      </c>
      <c r="M237" s="39"/>
      <c r="N237" s="39"/>
      <c r="O237" s="23" t="s">
        <v>1248</v>
      </c>
      <c r="P237" s="33"/>
      <c r="Q237" s="33"/>
    </row>
    <row r="238" spans="1:17">
      <c r="A238" s="12" t="s">
        <v>18</v>
      </c>
      <c r="B238" s="12" t="s">
        <v>352</v>
      </c>
      <c r="C238" s="12" t="s">
        <v>16</v>
      </c>
      <c r="D238" s="18" t="s">
        <v>26</v>
      </c>
      <c r="E238" s="15" t="str">
        <f t="shared" si="29"/>
        <v>030100207</v>
      </c>
      <c r="F238" s="16" t="s">
        <v>1222</v>
      </c>
      <c r="G238" s="16" t="str">
        <f t="shared" ref="G238:G240" si="37">"抽屉"&amp;B238&amp;"内螺纹刀片"</f>
        <v>抽屉010内螺纹刀片</v>
      </c>
      <c r="H238" t="str">
        <f t="shared" si="30"/>
        <v>行号02</v>
      </c>
      <c r="I238" s="16" t="str">
        <f t="shared" si="31"/>
        <v>序号07</v>
      </c>
      <c r="J238" s="36" t="s">
        <v>367</v>
      </c>
      <c r="K238" s="39">
        <v>10</v>
      </c>
      <c r="L238" s="39">
        <v>10</v>
      </c>
      <c r="M238" s="39"/>
      <c r="N238" s="39"/>
      <c r="O238" s="23" t="s">
        <v>1248</v>
      </c>
      <c r="P238" s="33"/>
      <c r="Q238" s="33"/>
    </row>
    <row r="239" spans="1:17">
      <c r="A239" s="12" t="s">
        <v>18</v>
      </c>
      <c r="B239" s="12" t="s">
        <v>352</v>
      </c>
      <c r="C239" s="14" t="s">
        <v>18</v>
      </c>
      <c r="D239" s="12" t="s">
        <v>14</v>
      </c>
      <c r="E239" s="15" t="str">
        <f t="shared" si="29"/>
        <v>030100301</v>
      </c>
      <c r="F239" s="16" t="s">
        <v>1222</v>
      </c>
      <c r="G239" s="16" t="str">
        <f t="shared" si="37"/>
        <v>抽屉010内螺纹刀片</v>
      </c>
      <c r="H239" t="str">
        <f t="shared" si="30"/>
        <v>行号03</v>
      </c>
      <c r="I239" s="16" t="str">
        <f t="shared" si="31"/>
        <v>序号01</v>
      </c>
      <c r="J239" s="24"/>
      <c r="K239" s="41"/>
      <c r="L239" s="41"/>
      <c r="M239" s="19">
        <v>0</v>
      </c>
      <c r="N239" s="41">
        <v>0</v>
      </c>
      <c r="P239" s="33"/>
      <c r="Q239" s="33"/>
    </row>
    <row r="240" spans="1:17">
      <c r="A240" s="12" t="s">
        <v>18</v>
      </c>
      <c r="B240" s="12" t="s">
        <v>352</v>
      </c>
      <c r="C240" s="12" t="s">
        <v>20</v>
      </c>
      <c r="D240" s="18" t="s">
        <v>28</v>
      </c>
      <c r="E240" s="15" t="str">
        <f t="shared" si="29"/>
        <v>030100408</v>
      </c>
      <c r="F240" s="16" t="s">
        <v>1222</v>
      </c>
      <c r="G240" s="16" t="str">
        <f t="shared" si="37"/>
        <v>抽屉010内螺纹刀片</v>
      </c>
      <c r="H240" t="str">
        <f t="shared" si="30"/>
        <v>行号04</v>
      </c>
      <c r="I240" s="16" t="str">
        <f t="shared" si="31"/>
        <v>序号08</v>
      </c>
      <c r="J240" s="36" t="s">
        <v>381</v>
      </c>
      <c r="K240" s="39">
        <v>10</v>
      </c>
      <c r="L240" s="39">
        <v>20</v>
      </c>
      <c r="M240" s="39"/>
      <c r="N240" s="39"/>
      <c r="O240" s="23" t="s">
        <v>1248</v>
      </c>
      <c r="P240" s="33"/>
      <c r="Q240" s="33"/>
    </row>
    <row r="241" spans="1:17">
      <c r="A241" s="12" t="s">
        <v>18</v>
      </c>
      <c r="B241" s="12" t="s">
        <v>382</v>
      </c>
      <c r="C241" s="14" t="s">
        <v>14</v>
      </c>
      <c r="D241" s="12" t="s">
        <v>14</v>
      </c>
      <c r="E241" s="15" t="str">
        <f t="shared" si="29"/>
        <v>030110101</v>
      </c>
      <c r="F241" s="16" t="s">
        <v>1222</v>
      </c>
      <c r="G241" s="16" t="str">
        <f>"抽屉"&amp;B241&amp;"内螺纹刀片"</f>
        <v>抽屉011内螺纹刀片</v>
      </c>
      <c r="H241" t="str">
        <f t="shared" si="30"/>
        <v>行号01</v>
      </c>
      <c r="I241" s="16" t="str">
        <f t="shared" si="31"/>
        <v>序号01</v>
      </c>
      <c r="J241" s="36" t="s">
        <v>1319</v>
      </c>
      <c r="K241" s="39">
        <v>20</v>
      </c>
      <c r="L241" s="39">
        <v>30</v>
      </c>
      <c r="M241" s="39"/>
      <c r="N241" s="39"/>
      <c r="O241" s="23" t="s">
        <v>1237</v>
      </c>
      <c r="P241" s="33">
        <v>576301</v>
      </c>
      <c r="Q241" s="33"/>
    </row>
    <row r="242" spans="1:17">
      <c r="A242" s="12" t="s">
        <v>18</v>
      </c>
      <c r="B242" s="12" t="s">
        <v>382</v>
      </c>
      <c r="C242" s="14" t="s">
        <v>14</v>
      </c>
      <c r="D242" s="12" t="s">
        <v>16</v>
      </c>
      <c r="E242" s="15" t="str">
        <f t="shared" si="29"/>
        <v>030110102</v>
      </c>
      <c r="F242" s="16" t="s">
        <v>1222</v>
      </c>
      <c r="G242" s="16" t="str">
        <f t="shared" ref="G242:G271" si="38">"抽屉"&amp;B242&amp;"内螺纹刀片"</f>
        <v>抽屉011内螺纹刀片</v>
      </c>
      <c r="H242" t="str">
        <f t="shared" si="30"/>
        <v>行号01</v>
      </c>
      <c r="I242" s="16" t="str">
        <f t="shared" si="31"/>
        <v>序号02</v>
      </c>
      <c r="J242" t="s">
        <v>1320</v>
      </c>
      <c r="K242" s="39">
        <v>20</v>
      </c>
      <c r="L242" s="39">
        <v>30</v>
      </c>
      <c r="M242" s="39"/>
      <c r="N242" s="39"/>
      <c r="O242" s="23" t="s">
        <v>1237</v>
      </c>
      <c r="P242" s="33">
        <v>608351</v>
      </c>
      <c r="Q242" s="33"/>
    </row>
    <row r="243" spans="1:17">
      <c r="A243" s="12" t="s">
        <v>18</v>
      </c>
      <c r="B243" s="12" t="s">
        <v>382</v>
      </c>
      <c r="C243" s="14" t="s">
        <v>14</v>
      </c>
      <c r="D243" s="12" t="s">
        <v>18</v>
      </c>
      <c r="E243" s="15" t="str">
        <f t="shared" si="29"/>
        <v>030110103</v>
      </c>
      <c r="F243" s="16" t="s">
        <v>1222</v>
      </c>
      <c r="G243" s="16" t="str">
        <f t="shared" si="38"/>
        <v>抽屉011内螺纹刀片</v>
      </c>
      <c r="H243" t="str">
        <f t="shared" si="30"/>
        <v>行号01</v>
      </c>
      <c r="I243" s="16" t="str">
        <f t="shared" si="31"/>
        <v>序号03</v>
      </c>
      <c r="J243" t="s">
        <v>383</v>
      </c>
      <c r="K243" s="39">
        <v>20</v>
      </c>
      <c r="L243" s="39">
        <v>30</v>
      </c>
      <c r="M243" s="39"/>
      <c r="N243" s="39"/>
      <c r="O243" s="23" t="s">
        <v>1237</v>
      </c>
      <c r="P243" s="33">
        <v>872324</v>
      </c>
      <c r="Q243" s="33"/>
    </row>
    <row r="244" spans="1:17">
      <c r="A244" s="12" t="s">
        <v>18</v>
      </c>
      <c r="B244" s="12" t="s">
        <v>382</v>
      </c>
      <c r="C244" s="14" t="s">
        <v>14</v>
      </c>
      <c r="D244" s="12" t="s">
        <v>20</v>
      </c>
      <c r="E244" s="15" t="str">
        <f t="shared" si="29"/>
        <v>030110104</v>
      </c>
      <c r="F244" s="16" t="s">
        <v>1222</v>
      </c>
      <c r="G244" s="16" t="str">
        <f t="shared" si="38"/>
        <v>抽屉011内螺纹刀片</v>
      </c>
      <c r="H244" t="str">
        <f t="shared" si="30"/>
        <v>行号01</v>
      </c>
      <c r="I244" s="16" t="str">
        <f t="shared" si="31"/>
        <v>序号04</v>
      </c>
      <c r="J244" s="36" t="s">
        <v>1321</v>
      </c>
      <c r="K244" s="39">
        <v>20</v>
      </c>
      <c r="L244" s="39">
        <v>30</v>
      </c>
      <c r="M244" s="39"/>
      <c r="N244" s="39"/>
      <c r="O244" s="23" t="s">
        <v>1237</v>
      </c>
      <c r="P244" s="33">
        <v>679828</v>
      </c>
      <c r="Q244" s="33"/>
    </row>
    <row r="245" spans="1:17">
      <c r="A245" s="12" t="s">
        <v>18</v>
      </c>
      <c r="B245" s="12" t="s">
        <v>382</v>
      </c>
      <c r="C245" s="14" t="s">
        <v>14</v>
      </c>
      <c r="D245" s="12" t="s">
        <v>22</v>
      </c>
      <c r="E245" s="15" t="str">
        <f t="shared" si="29"/>
        <v>030110105</v>
      </c>
      <c r="F245" s="16" t="s">
        <v>1222</v>
      </c>
      <c r="G245" s="16" t="str">
        <f t="shared" si="38"/>
        <v>抽屉011内螺纹刀片</v>
      </c>
      <c r="H245" t="str">
        <f t="shared" si="30"/>
        <v>行号01</v>
      </c>
      <c r="I245" s="16" t="str">
        <f t="shared" si="31"/>
        <v>序号05</v>
      </c>
      <c r="J245" t="s">
        <v>384</v>
      </c>
      <c r="K245" s="39">
        <v>15</v>
      </c>
      <c r="L245" s="39">
        <v>20</v>
      </c>
      <c r="M245" s="39"/>
      <c r="N245" s="39"/>
      <c r="O245" s="23" t="s">
        <v>1237</v>
      </c>
      <c r="P245" s="33">
        <v>676691</v>
      </c>
      <c r="Q245" s="33"/>
    </row>
    <row r="246" spans="1:17">
      <c r="A246" s="12" t="s">
        <v>18</v>
      </c>
      <c r="B246" s="12" t="s">
        <v>382</v>
      </c>
      <c r="C246" s="14" t="s">
        <v>14</v>
      </c>
      <c r="D246" s="12" t="s">
        <v>24</v>
      </c>
      <c r="E246" s="15" t="str">
        <f t="shared" si="29"/>
        <v>030110106</v>
      </c>
      <c r="F246" s="16" t="s">
        <v>1222</v>
      </c>
      <c r="G246" s="16" t="str">
        <f t="shared" si="38"/>
        <v>抽屉011内螺纹刀片</v>
      </c>
      <c r="H246" t="str">
        <f t="shared" si="30"/>
        <v>行号01</v>
      </c>
      <c r="I246" s="16" t="str">
        <f t="shared" si="31"/>
        <v>序号06</v>
      </c>
      <c r="J246" s="36" t="s">
        <v>1322</v>
      </c>
      <c r="K246" s="39">
        <v>20</v>
      </c>
      <c r="L246" s="39">
        <v>30</v>
      </c>
      <c r="M246" s="39"/>
      <c r="N246" s="39"/>
      <c r="O246" s="23" t="s">
        <v>1237</v>
      </c>
      <c r="P246" s="33">
        <v>645796</v>
      </c>
      <c r="Q246" s="33"/>
    </row>
    <row r="247" spans="1:17">
      <c r="A247" s="12" t="s">
        <v>18</v>
      </c>
      <c r="B247" s="12" t="s">
        <v>382</v>
      </c>
      <c r="C247" s="14" t="s">
        <v>14</v>
      </c>
      <c r="D247" s="12" t="s">
        <v>26</v>
      </c>
      <c r="E247" s="15" t="str">
        <f t="shared" si="29"/>
        <v>030110107</v>
      </c>
      <c r="F247" s="16" t="s">
        <v>1222</v>
      </c>
      <c r="G247" s="16" t="str">
        <f t="shared" si="38"/>
        <v>抽屉011内螺纹刀片</v>
      </c>
      <c r="H247" t="str">
        <f t="shared" si="30"/>
        <v>行号01</v>
      </c>
      <c r="I247" s="16" t="str">
        <f t="shared" si="31"/>
        <v>序号07</v>
      </c>
      <c r="J247" s="36" t="s">
        <v>1323</v>
      </c>
      <c r="K247" s="39">
        <v>20</v>
      </c>
      <c r="L247" s="39">
        <v>30</v>
      </c>
      <c r="M247" s="39"/>
      <c r="N247" s="39"/>
      <c r="O247" s="23" t="s">
        <v>1237</v>
      </c>
      <c r="P247" s="33">
        <v>832575</v>
      </c>
      <c r="Q247" s="33"/>
    </row>
    <row r="248" spans="1:17">
      <c r="A248" s="12" t="s">
        <v>18</v>
      </c>
      <c r="B248" s="12" t="s">
        <v>382</v>
      </c>
      <c r="C248" s="14" t="s">
        <v>14</v>
      </c>
      <c r="D248" s="12" t="s">
        <v>28</v>
      </c>
      <c r="E248" s="15" t="str">
        <f t="shared" si="29"/>
        <v>030110108</v>
      </c>
      <c r="F248" s="16" t="s">
        <v>1222</v>
      </c>
      <c r="G248" s="16" t="str">
        <f t="shared" si="38"/>
        <v>抽屉011内螺纹刀片</v>
      </c>
      <c r="H248" t="str">
        <f t="shared" si="30"/>
        <v>行号01</v>
      </c>
      <c r="I248" s="16" t="str">
        <f t="shared" si="31"/>
        <v>序号08</v>
      </c>
      <c r="J248" s="36" t="s">
        <v>1324</v>
      </c>
      <c r="K248" s="39">
        <v>20</v>
      </c>
      <c r="L248" s="39">
        <v>30</v>
      </c>
      <c r="M248" s="39"/>
      <c r="N248" s="39"/>
      <c r="O248" s="23" t="s">
        <v>1237</v>
      </c>
      <c r="P248" s="33">
        <v>367796</v>
      </c>
      <c r="Q248" s="33"/>
    </row>
    <row r="249" spans="1:17">
      <c r="A249" s="12" t="s">
        <v>18</v>
      </c>
      <c r="B249" s="12" t="s">
        <v>382</v>
      </c>
      <c r="C249" s="12" t="s">
        <v>16</v>
      </c>
      <c r="D249" s="18" t="s">
        <v>14</v>
      </c>
      <c r="E249" s="15" t="str">
        <f t="shared" si="29"/>
        <v>030110201</v>
      </c>
      <c r="F249" s="16" t="s">
        <v>1222</v>
      </c>
      <c r="G249" s="16" t="str">
        <f t="shared" si="38"/>
        <v>抽屉011内螺纹刀片</v>
      </c>
      <c r="H249" t="str">
        <f t="shared" si="30"/>
        <v>行号02</v>
      </c>
      <c r="I249" s="16" t="str">
        <f t="shared" si="31"/>
        <v>序号01</v>
      </c>
      <c r="J249" s="36" t="s">
        <v>385</v>
      </c>
      <c r="K249" s="39">
        <v>9</v>
      </c>
      <c r="L249" s="39">
        <v>20</v>
      </c>
      <c r="M249" s="39"/>
      <c r="N249" s="39"/>
      <c r="O249" s="23" t="s">
        <v>1237</v>
      </c>
      <c r="P249" s="33">
        <v>423238</v>
      </c>
      <c r="Q249" s="33"/>
    </row>
    <row r="250" spans="1:17">
      <c r="A250" s="12" t="s">
        <v>18</v>
      </c>
      <c r="B250" s="12" t="s">
        <v>382</v>
      </c>
      <c r="C250" s="12" t="s">
        <v>16</v>
      </c>
      <c r="D250" s="18" t="s">
        <v>16</v>
      </c>
      <c r="E250" s="15" t="str">
        <f t="shared" si="29"/>
        <v>030110202</v>
      </c>
      <c r="F250" s="16" t="s">
        <v>1222</v>
      </c>
      <c r="G250" s="16" t="str">
        <f t="shared" si="38"/>
        <v>抽屉011内螺纹刀片</v>
      </c>
      <c r="H250" t="str">
        <f t="shared" si="30"/>
        <v>行号02</v>
      </c>
      <c r="I250" s="16" t="str">
        <f t="shared" si="31"/>
        <v>序号02</v>
      </c>
      <c r="J250" s="36" t="s">
        <v>1325</v>
      </c>
      <c r="K250" s="39">
        <v>20</v>
      </c>
      <c r="L250" s="39">
        <v>30</v>
      </c>
      <c r="M250" s="39"/>
      <c r="N250" s="39"/>
      <c r="O250" s="23" t="s">
        <v>1237</v>
      </c>
      <c r="P250" s="33">
        <v>755666</v>
      </c>
      <c r="Q250" s="33">
        <v>167.05</v>
      </c>
    </row>
    <row r="251" spans="1:17">
      <c r="A251" s="12" t="s">
        <v>18</v>
      </c>
      <c r="B251" s="12" t="s">
        <v>382</v>
      </c>
      <c r="C251" s="12" t="s">
        <v>16</v>
      </c>
      <c r="D251" s="18" t="s">
        <v>18</v>
      </c>
      <c r="E251" s="15" t="str">
        <f t="shared" si="29"/>
        <v>030110203</v>
      </c>
      <c r="F251" s="16" t="s">
        <v>1222</v>
      </c>
      <c r="G251" s="16" t="str">
        <f t="shared" si="38"/>
        <v>抽屉011内螺纹刀片</v>
      </c>
      <c r="H251" t="str">
        <f t="shared" si="30"/>
        <v>行号02</v>
      </c>
      <c r="I251" s="16" t="str">
        <f t="shared" si="31"/>
        <v>序号03</v>
      </c>
      <c r="J251" s="36" t="s">
        <v>1326</v>
      </c>
      <c r="K251" s="39">
        <v>20</v>
      </c>
      <c r="L251" s="39">
        <v>30</v>
      </c>
      <c r="M251" s="39"/>
      <c r="N251" s="39"/>
      <c r="O251" s="23" t="s">
        <v>1237</v>
      </c>
      <c r="P251" s="33">
        <v>423289</v>
      </c>
      <c r="Q251" s="33">
        <v>167.05</v>
      </c>
    </row>
    <row r="252" spans="1:17">
      <c r="A252" s="12" t="s">
        <v>18</v>
      </c>
      <c r="B252" s="12" t="s">
        <v>382</v>
      </c>
      <c r="C252" s="12" t="s">
        <v>16</v>
      </c>
      <c r="D252" s="18" t="s">
        <v>20</v>
      </c>
      <c r="E252" s="15" t="str">
        <f t="shared" si="29"/>
        <v>030110204</v>
      </c>
      <c r="F252" s="16" t="s">
        <v>1222</v>
      </c>
      <c r="G252" s="16" t="str">
        <f t="shared" si="38"/>
        <v>抽屉011内螺纹刀片</v>
      </c>
      <c r="H252" t="str">
        <f t="shared" si="30"/>
        <v>行号02</v>
      </c>
      <c r="I252" s="16" t="str">
        <f t="shared" si="31"/>
        <v>序号04</v>
      </c>
      <c r="J252" s="36" t="s">
        <v>1327</v>
      </c>
      <c r="K252" s="39">
        <v>20</v>
      </c>
      <c r="L252" s="39">
        <v>30</v>
      </c>
      <c r="M252" s="39"/>
      <c r="N252" s="39"/>
      <c r="O252" s="23" t="s">
        <v>1237</v>
      </c>
      <c r="P252" s="33">
        <v>423262</v>
      </c>
      <c r="Q252" s="33">
        <v>167.05</v>
      </c>
    </row>
    <row r="253" spans="1:17">
      <c r="A253" s="12" t="s">
        <v>18</v>
      </c>
      <c r="B253" s="12" t="s">
        <v>382</v>
      </c>
      <c r="C253" s="12" t="s">
        <v>16</v>
      </c>
      <c r="D253" s="18" t="s">
        <v>22</v>
      </c>
      <c r="E253" s="15" t="str">
        <f t="shared" si="29"/>
        <v>030110205</v>
      </c>
      <c r="F253" s="16" t="s">
        <v>1222</v>
      </c>
      <c r="G253" s="16" t="str">
        <f t="shared" si="38"/>
        <v>抽屉011内螺纹刀片</v>
      </c>
      <c r="H253" t="str">
        <f t="shared" si="30"/>
        <v>行号02</v>
      </c>
      <c r="I253" s="16" t="str">
        <f t="shared" si="31"/>
        <v>序号05</v>
      </c>
      <c r="J253" s="36" t="s">
        <v>1328</v>
      </c>
      <c r="K253" s="39">
        <v>9</v>
      </c>
      <c r="L253" s="39">
        <v>20</v>
      </c>
      <c r="M253" s="39"/>
      <c r="N253" s="39"/>
      <c r="O253" s="23" t="s">
        <v>1237</v>
      </c>
      <c r="P253" s="33">
        <v>756419</v>
      </c>
      <c r="Q253" s="33"/>
    </row>
    <row r="254" spans="1:17">
      <c r="A254" s="12" t="s">
        <v>18</v>
      </c>
      <c r="B254" s="12" t="s">
        <v>382</v>
      </c>
      <c r="C254" s="12" t="s">
        <v>16</v>
      </c>
      <c r="D254" s="18" t="s">
        <v>24</v>
      </c>
      <c r="E254" s="15" t="str">
        <f t="shared" si="29"/>
        <v>030110206</v>
      </c>
      <c r="F254" s="16" t="s">
        <v>1222</v>
      </c>
      <c r="G254" s="16" t="str">
        <f t="shared" si="38"/>
        <v>抽屉011内螺纹刀片</v>
      </c>
      <c r="H254" t="str">
        <f t="shared" si="30"/>
        <v>行号02</v>
      </c>
      <c r="I254" s="16" t="str">
        <f t="shared" si="31"/>
        <v>序号06</v>
      </c>
      <c r="J254" s="36" t="s">
        <v>386</v>
      </c>
      <c r="K254" s="39">
        <v>5</v>
      </c>
      <c r="L254" s="39">
        <v>10</v>
      </c>
      <c r="M254" s="39"/>
      <c r="N254" s="39"/>
      <c r="O254" s="23" t="s">
        <v>1248</v>
      </c>
      <c r="P254" s="33"/>
      <c r="Q254" s="33"/>
    </row>
    <row r="255" spans="1:17">
      <c r="A255" s="12" t="s">
        <v>18</v>
      </c>
      <c r="B255" s="12" t="s">
        <v>382</v>
      </c>
      <c r="C255" s="12" t="s">
        <v>16</v>
      </c>
      <c r="D255" s="18" t="s">
        <v>26</v>
      </c>
      <c r="E255" s="15" t="str">
        <f t="shared" si="29"/>
        <v>030110207</v>
      </c>
      <c r="F255" s="16" t="s">
        <v>1222</v>
      </c>
      <c r="G255" s="16" t="str">
        <f t="shared" si="38"/>
        <v>抽屉011内螺纹刀片</v>
      </c>
      <c r="H255" t="str">
        <f t="shared" si="30"/>
        <v>行号02</v>
      </c>
      <c r="I255" s="16" t="str">
        <f t="shared" si="31"/>
        <v>序号07</v>
      </c>
      <c r="J255" s="36" t="s">
        <v>1329</v>
      </c>
      <c r="K255" s="39">
        <v>10</v>
      </c>
      <c r="L255" s="39">
        <v>20</v>
      </c>
      <c r="M255" s="39"/>
      <c r="N255" s="39"/>
      <c r="O255" s="23" t="s">
        <v>1237</v>
      </c>
      <c r="P255" s="33">
        <v>423149</v>
      </c>
      <c r="Q255" s="33">
        <v>167.05</v>
      </c>
    </row>
    <row r="256" spans="1:17">
      <c r="A256" s="12" t="s">
        <v>18</v>
      </c>
      <c r="B256" s="12" t="s">
        <v>382</v>
      </c>
      <c r="C256" s="12" t="s">
        <v>16</v>
      </c>
      <c r="D256" s="18" t="s">
        <v>28</v>
      </c>
      <c r="E256" s="15" t="str">
        <f t="shared" si="29"/>
        <v>030110208</v>
      </c>
      <c r="F256" s="16" t="s">
        <v>1222</v>
      </c>
      <c r="G256" s="16" t="str">
        <f t="shared" si="38"/>
        <v>抽屉011内螺纹刀片</v>
      </c>
      <c r="H256" t="str">
        <f t="shared" si="30"/>
        <v>行号02</v>
      </c>
      <c r="I256" s="16" t="str">
        <f t="shared" si="31"/>
        <v>序号08</v>
      </c>
      <c r="J256" s="36" t="s">
        <v>1330</v>
      </c>
      <c r="K256" s="39">
        <v>5</v>
      </c>
      <c r="L256" s="39">
        <v>10</v>
      </c>
      <c r="M256" s="39"/>
      <c r="N256" s="39"/>
      <c r="O256" s="23" t="s">
        <v>1237</v>
      </c>
      <c r="P256" s="33">
        <v>423254</v>
      </c>
      <c r="Q256" s="33"/>
    </row>
    <row r="257" spans="1:17">
      <c r="A257" s="12" t="s">
        <v>18</v>
      </c>
      <c r="B257" s="12" t="s">
        <v>382</v>
      </c>
      <c r="C257" s="14" t="s">
        <v>18</v>
      </c>
      <c r="D257" s="12" t="s">
        <v>14</v>
      </c>
      <c r="E257" s="15" t="str">
        <f t="shared" si="29"/>
        <v>030110301</v>
      </c>
      <c r="F257" s="16" t="s">
        <v>1222</v>
      </c>
      <c r="G257" s="16" t="str">
        <f t="shared" si="38"/>
        <v>抽屉011内螺纹刀片</v>
      </c>
      <c r="H257" t="str">
        <f t="shared" si="30"/>
        <v>行号03</v>
      </c>
      <c r="I257" s="16" t="str">
        <f t="shared" si="31"/>
        <v>序号01</v>
      </c>
      <c r="J257" s="36" t="s">
        <v>1331</v>
      </c>
      <c r="K257" s="39">
        <v>20</v>
      </c>
      <c r="L257" s="39">
        <v>30</v>
      </c>
      <c r="M257" s="39"/>
      <c r="N257" s="39"/>
      <c r="O257" s="23" t="s">
        <v>1237</v>
      </c>
      <c r="P257" s="33">
        <v>423157</v>
      </c>
      <c r="Q257" s="33"/>
    </row>
    <row r="258" spans="1:17">
      <c r="A258" s="12" t="s">
        <v>18</v>
      </c>
      <c r="B258" s="12" t="s">
        <v>382</v>
      </c>
      <c r="C258" s="14" t="s">
        <v>18</v>
      </c>
      <c r="D258" s="12" t="s">
        <v>16</v>
      </c>
      <c r="E258" s="15" t="str">
        <f t="shared" si="29"/>
        <v>030110302</v>
      </c>
      <c r="F258" s="16" t="s">
        <v>1222</v>
      </c>
      <c r="G258" s="16" t="str">
        <f t="shared" si="38"/>
        <v>抽屉011内螺纹刀片</v>
      </c>
      <c r="H258" t="str">
        <f t="shared" si="30"/>
        <v>行号03</v>
      </c>
      <c r="I258" s="16" t="str">
        <f t="shared" si="31"/>
        <v>序号02</v>
      </c>
      <c r="J258" s="36" t="s">
        <v>1332</v>
      </c>
      <c r="K258" s="39">
        <v>9</v>
      </c>
      <c r="L258" s="39">
        <v>20</v>
      </c>
      <c r="M258" s="39"/>
      <c r="N258" s="39"/>
      <c r="O258" s="23" t="s">
        <v>1237</v>
      </c>
      <c r="P258" s="33">
        <v>574619</v>
      </c>
      <c r="Q258" s="33"/>
    </row>
    <row r="259" spans="1:17">
      <c r="A259" s="12" t="s">
        <v>18</v>
      </c>
      <c r="B259" s="12" t="s">
        <v>382</v>
      </c>
      <c r="C259" s="14" t="s">
        <v>18</v>
      </c>
      <c r="D259" s="12" t="s">
        <v>18</v>
      </c>
      <c r="E259" s="15" t="str">
        <f t="shared" si="29"/>
        <v>030110303</v>
      </c>
      <c r="F259" s="16" t="s">
        <v>1222</v>
      </c>
      <c r="G259" s="16" t="str">
        <f t="shared" si="38"/>
        <v>抽屉011内螺纹刀片</v>
      </c>
      <c r="H259" t="str">
        <f t="shared" si="30"/>
        <v>行号03</v>
      </c>
      <c r="I259" s="16" t="str">
        <f t="shared" si="31"/>
        <v>序号03</v>
      </c>
      <c r="J259" t="s">
        <v>1333</v>
      </c>
      <c r="K259" s="39">
        <v>20</v>
      </c>
      <c r="L259" s="39">
        <v>30</v>
      </c>
      <c r="M259" s="39"/>
      <c r="N259" s="39"/>
      <c r="O259" s="23" t="s">
        <v>1237</v>
      </c>
      <c r="P259" s="33">
        <v>367753</v>
      </c>
      <c r="Q259" s="33">
        <v>167.05</v>
      </c>
    </row>
    <row r="260" spans="1:17">
      <c r="A260" s="12" t="s">
        <v>18</v>
      </c>
      <c r="B260" s="12" t="s">
        <v>382</v>
      </c>
      <c r="C260" s="14" t="s">
        <v>18</v>
      </c>
      <c r="D260" s="12" t="s">
        <v>20</v>
      </c>
      <c r="E260" s="15" t="str">
        <f t="shared" si="29"/>
        <v>030110304</v>
      </c>
      <c r="F260" s="16" t="s">
        <v>1222</v>
      </c>
      <c r="G260" s="16" t="str">
        <f t="shared" si="38"/>
        <v>抽屉011内螺纹刀片</v>
      </c>
      <c r="H260" t="str">
        <f t="shared" si="30"/>
        <v>行号03</v>
      </c>
      <c r="I260" s="16" t="str">
        <f t="shared" si="31"/>
        <v>序号04</v>
      </c>
      <c r="J260" s="36" t="s">
        <v>387</v>
      </c>
      <c r="K260" s="39">
        <v>9</v>
      </c>
      <c r="L260" s="39">
        <v>20</v>
      </c>
      <c r="M260" s="39"/>
      <c r="N260" s="39"/>
      <c r="O260" s="23" t="s">
        <v>1248</v>
      </c>
      <c r="P260" s="33"/>
      <c r="Q260" s="33"/>
    </row>
    <row r="261" spans="1:17">
      <c r="A261" s="12" t="s">
        <v>18</v>
      </c>
      <c r="B261" s="12" t="s">
        <v>382</v>
      </c>
      <c r="C261" s="14" t="s">
        <v>18</v>
      </c>
      <c r="D261" s="12" t="s">
        <v>22</v>
      </c>
      <c r="E261" s="15" t="str">
        <f t="shared" si="29"/>
        <v>030110305</v>
      </c>
      <c r="F261" s="16" t="s">
        <v>1222</v>
      </c>
      <c r="G261" s="16" t="str">
        <f t="shared" si="38"/>
        <v>抽屉011内螺纹刀片</v>
      </c>
      <c r="H261" t="str">
        <f t="shared" si="30"/>
        <v>行号03</v>
      </c>
      <c r="I261" s="16" t="str">
        <f t="shared" si="31"/>
        <v>序号05</v>
      </c>
      <c r="J261" t="s">
        <v>388</v>
      </c>
      <c r="K261" s="39">
        <v>10</v>
      </c>
      <c r="L261" s="39">
        <v>10</v>
      </c>
      <c r="M261" s="39"/>
      <c r="N261" s="39"/>
      <c r="O261" s="23" t="s">
        <v>1248</v>
      </c>
      <c r="P261" s="33"/>
      <c r="Q261" s="33"/>
    </row>
    <row r="262" spans="1:17">
      <c r="A262" s="12" t="s">
        <v>18</v>
      </c>
      <c r="B262" s="12" t="s">
        <v>382</v>
      </c>
      <c r="C262" s="14" t="s">
        <v>18</v>
      </c>
      <c r="D262" s="12" t="s">
        <v>24</v>
      </c>
      <c r="E262" s="15" t="str">
        <f t="shared" ref="E262:E323" si="39">A262&amp;B262&amp;C262&amp;D262</f>
        <v>030110306</v>
      </c>
      <c r="F262" s="16" t="s">
        <v>1222</v>
      </c>
      <c r="G262" s="16" t="str">
        <f t="shared" si="38"/>
        <v>抽屉011内螺纹刀片</v>
      </c>
      <c r="H262" t="str">
        <f t="shared" ref="H262:H323" si="40">"行号"&amp;C262</f>
        <v>行号03</v>
      </c>
      <c r="I262" s="16" t="str">
        <f t="shared" ref="I262:I323" si="41">"序号"&amp;D262</f>
        <v>序号06</v>
      </c>
      <c r="J262" s="36" t="s">
        <v>389</v>
      </c>
      <c r="K262" s="39">
        <v>10</v>
      </c>
      <c r="L262" s="39">
        <v>20</v>
      </c>
      <c r="M262" s="39"/>
      <c r="N262" s="39"/>
      <c r="O262" s="23" t="s">
        <v>1248</v>
      </c>
      <c r="P262" s="33"/>
      <c r="Q262" s="33"/>
    </row>
    <row r="263" spans="1:17">
      <c r="A263" s="12" t="s">
        <v>18</v>
      </c>
      <c r="B263" s="12" t="s">
        <v>382</v>
      </c>
      <c r="C263" s="14" t="s">
        <v>18</v>
      </c>
      <c r="D263" s="12" t="s">
        <v>26</v>
      </c>
      <c r="E263" s="15" t="str">
        <f t="shared" si="39"/>
        <v>030110307</v>
      </c>
      <c r="F263" s="16" t="s">
        <v>1222</v>
      </c>
      <c r="G263" s="16" t="str">
        <f t="shared" si="38"/>
        <v>抽屉011内螺纹刀片</v>
      </c>
      <c r="H263" t="str">
        <f t="shared" si="40"/>
        <v>行号03</v>
      </c>
      <c r="I263" s="16" t="str">
        <f t="shared" si="41"/>
        <v>序号07</v>
      </c>
      <c r="J263" s="36" t="s">
        <v>390</v>
      </c>
      <c r="K263" s="39">
        <v>9</v>
      </c>
      <c r="L263" s="39">
        <v>10</v>
      </c>
      <c r="M263" s="39"/>
      <c r="N263" s="39"/>
      <c r="O263" s="23" t="s">
        <v>1248</v>
      </c>
      <c r="P263" s="33"/>
      <c r="Q263" s="33"/>
    </row>
    <row r="264" spans="1:17">
      <c r="A264" s="12" t="s">
        <v>18</v>
      </c>
      <c r="B264" s="12" t="s">
        <v>382</v>
      </c>
      <c r="C264" s="14" t="s">
        <v>18</v>
      </c>
      <c r="D264" s="12" t="s">
        <v>28</v>
      </c>
      <c r="E264" s="15" t="str">
        <f t="shared" si="39"/>
        <v>030110308</v>
      </c>
      <c r="F264" s="16" t="s">
        <v>1222</v>
      </c>
      <c r="G264" s="16" t="str">
        <f t="shared" si="38"/>
        <v>抽屉011内螺纹刀片</v>
      </c>
      <c r="H264" t="str">
        <f t="shared" si="40"/>
        <v>行号03</v>
      </c>
      <c r="I264" s="16" t="str">
        <f t="shared" si="41"/>
        <v>序号08</v>
      </c>
      <c r="J264" s="36" t="s">
        <v>391</v>
      </c>
      <c r="K264" s="39">
        <v>3</v>
      </c>
      <c r="L264" s="39">
        <v>3</v>
      </c>
      <c r="M264" s="39"/>
      <c r="N264" s="39"/>
      <c r="O264" s="23" t="s">
        <v>1252</v>
      </c>
      <c r="P264" s="33"/>
      <c r="Q264" s="33"/>
    </row>
    <row r="265" spans="1:17">
      <c r="A265" s="12" t="s">
        <v>18</v>
      </c>
      <c r="B265" s="12" t="s">
        <v>382</v>
      </c>
      <c r="C265" s="12" t="s">
        <v>20</v>
      </c>
      <c r="D265" s="18" t="s">
        <v>14</v>
      </c>
      <c r="E265" s="15" t="str">
        <f t="shared" si="39"/>
        <v>030110401</v>
      </c>
      <c r="F265" s="16" t="s">
        <v>1222</v>
      </c>
      <c r="G265" s="16" t="str">
        <f t="shared" si="38"/>
        <v>抽屉011内螺纹刀片</v>
      </c>
      <c r="H265" t="str">
        <f t="shared" si="40"/>
        <v>行号04</v>
      </c>
      <c r="I265" s="16" t="str">
        <f t="shared" si="41"/>
        <v>序号01</v>
      </c>
      <c r="J265" s="36" t="s">
        <v>1308</v>
      </c>
      <c r="K265" s="39">
        <v>9</v>
      </c>
      <c r="L265" s="39">
        <v>20</v>
      </c>
      <c r="M265" s="39"/>
      <c r="N265" s="39"/>
      <c r="O265" s="23" t="s">
        <v>1248</v>
      </c>
      <c r="P265" s="33"/>
      <c r="Q265" s="33"/>
    </row>
    <row r="266" spans="1:17">
      <c r="A266" s="12" t="s">
        <v>18</v>
      </c>
      <c r="B266" s="12" t="s">
        <v>382</v>
      </c>
      <c r="C266" s="12" t="s">
        <v>20</v>
      </c>
      <c r="D266" s="18" t="s">
        <v>16</v>
      </c>
      <c r="E266" s="15" t="str">
        <f t="shared" si="39"/>
        <v>030110402</v>
      </c>
      <c r="F266" s="16" t="s">
        <v>1222</v>
      </c>
      <c r="G266" s="16" t="str">
        <f t="shared" si="38"/>
        <v>抽屉011内螺纹刀片</v>
      </c>
      <c r="H266" t="str">
        <f t="shared" si="40"/>
        <v>行号04</v>
      </c>
      <c r="I266" s="16" t="str">
        <f t="shared" si="41"/>
        <v>序号02</v>
      </c>
      <c r="J266" s="36" t="s">
        <v>392</v>
      </c>
      <c r="K266" s="39">
        <v>20</v>
      </c>
      <c r="L266" s="39">
        <v>30</v>
      </c>
      <c r="M266" s="39"/>
      <c r="N266" s="39"/>
      <c r="O266" s="23" t="s">
        <v>1237</v>
      </c>
      <c r="P266" s="33"/>
      <c r="Q266" s="33">
        <v>184.6</v>
      </c>
    </row>
    <row r="267" spans="1:17">
      <c r="A267" s="12" t="s">
        <v>18</v>
      </c>
      <c r="B267" s="12" t="s">
        <v>382</v>
      </c>
      <c r="C267" s="12" t="s">
        <v>20</v>
      </c>
      <c r="D267" s="18" t="s">
        <v>18</v>
      </c>
      <c r="E267" s="15" t="str">
        <f t="shared" si="39"/>
        <v>030110403</v>
      </c>
      <c r="F267" s="16" t="s">
        <v>1222</v>
      </c>
      <c r="G267" s="16" t="str">
        <f t="shared" si="38"/>
        <v>抽屉011内螺纹刀片</v>
      </c>
      <c r="H267" t="str">
        <f t="shared" si="40"/>
        <v>行号04</v>
      </c>
      <c r="I267" s="16" t="str">
        <f t="shared" si="41"/>
        <v>序号03</v>
      </c>
      <c r="J267" s="36" t="s">
        <v>393</v>
      </c>
      <c r="K267" s="39">
        <v>20</v>
      </c>
      <c r="L267" s="39">
        <v>30</v>
      </c>
      <c r="M267" s="39"/>
      <c r="N267" s="39"/>
      <c r="O267" s="23" t="s">
        <v>1237</v>
      </c>
      <c r="P267" s="33"/>
      <c r="Q267" s="33">
        <v>167.05</v>
      </c>
    </row>
    <row r="268" spans="1:17">
      <c r="A268" s="12" t="s">
        <v>18</v>
      </c>
      <c r="B268" s="12" t="s">
        <v>382</v>
      </c>
      <c r="C268" s="12" t="s">
        <v>20</v>
      </c>
      <c r="D268" s="18" t="s">
        <v>20</v>
      </c>
      <c r="E268" s="15" t="str">
        <f t="shared" si="39"/>
        <v>030110404</v>
      </c>
      <c r="F268" s="16" t="s">
        <v>1222</v>
      </c>
      <c r="G268" s="16" t="str">
        <f t="shared" si="38"/>
        <v>抽屉011内螺纹刀片</v>
      </c>
      <c r="H268" t="str">
        <f t="shared" si="40"/>
        <v>行号04</v>
      </c>
      <c r="I268" s="16" t="str">
        <f t="shared" si="41"/>
        <v>序号04</v>
      </c>
      <c r="J268" s="36" t="s">
        <v>394</v>
      </c>
      <c r="K268" s="39">
        <v>9</v>
      </c>
      <c r="L268" s="39">
        <v>10</v>
      </c>
      <c r="M268" s="39"/>
      <c r="N268" s="39"/>
      <c r="O268" s="23" t="s">
        <v>1237</v>
      </c>
      <c r="P268" s="33"/>
      <c r="Q268" s="33">
        <v>167.05</v>
      </c>
    </row>
    <row r="269" spans="1:17">
      <c r="A269" s="12" t="s">
        <v>18</v>
      </c>
      <c r="B269" s="12" t="s">
        <v>382</v>
      </c>
      <c r="C269" s="12" t="s">
        <v>20</v>
      </c>
      <c r="D269" s="18" t="s">
        <v>22</v>
      </c>
      <c r="E269" s="15" t="str">
        <f t="shared" si="39"/>
        <v>030110405</v>
      </c>
      <c r="F269" s="16" t="s">
        <v>1222</v>
      </c>
      <c r="G269" s="16" t="str">
        <f t="shared" si="38"/>
        <v>抽屉011内螺纹刀片</v>
      </c>
      <c r="H269" t="str">
        <f t="shared" si="40"/>
        <v>行号04</v>
      </c>
      <c r="I269" s="16" t="str">
        <f t="shared" si="41"/>
        <v>序号05</v>
      </c>
      <c r="J269" t="s">
        <v>395</v>
      </c>
      <c r="K269" s="39">
        <v>3</v>
      </c>
      <c r="L269" s="39">
        <v>3</v>
      </c>
      <c r="M269" s="39"/>
      <c r="N269" s="39"/>
      <c r="O269" s="23" t="s">
        <v>1248</v>
      </c>
      <c r="P269" s="33"/>
      <c r="Q269" s="33"/>
    </row>
    <row r="270" spans="1:17">
      <c r="A270" s="12" t="s">
        <v>18</v>
      </c>
      <c r="B270" s="12" t="s">
        <v>382</v>
      </c>
      <c r="C270" s="12" t="s">
        <v>20</v>
      </c>
      <c r="D270" s="18" t="s">
        <v>24</v>
      </c>
      <c r="E270" s="15" t="str">
        <f t="shared" si="39"/>
        <v>030110406</v>
      </c>
      <c r="F270" s="16" t="s">
        <v>1222</v>
      </c>
      <c r="G270" s="16" t="str">
        <f t="shared" si="38"/>
        <v>抽屉011内螺纹刀片</v>
      </c>
      <c r="H270" t="str">
        <f t="shared" si="40"/>
        <v>行号04</v>
      </c>
      <c r="I270" s="16" t="str">
        <f t="shared" si="41"/>
        <v>序号06</v>
      </c>
      <c r="J270" s="36" t="s">
        <v>396</v>
      </c>
      <c r="K270" s="39">
        <v>5</v>
      </c>
      <c r="L270" s="39">
        <v>5</v>
      </c>
      <c r="M270" s="39"/>
      <c r="N270" s="39"/>
      <c r="O270" s="23" t="s">
        <v>1237</v>
      </c>
      <c r="P270" s="33">
        <v>996919</v>
      </c>
      <c r="Q270" s="33"/>
    </row>
    <row r="271" spans="1:17">
      <c r="A271" s="12" t="s">
        <v>18</v>
      </c>
      <c r="B271" s="12" t="s">
        <v>382</v>
      </c>
      <c r="C271" s="12" t="s">
        <v>20</v>
      </c>
      <c r="D271" s="18" t="s">
        <v>26</v>
      </c>
      <c r="E271" s="15" t="str">
        <f t="shared" si="39"/>
        <v>030110407</v>
      </c>
      <c r="F271" s="16" t="s">
        <v>1222</v>
      </c>
      <c r="G271" s="16" t="str">
        <f t="shared" si="38"/>
        <v>抽屉011内螺纹刀片</v>
      </c>
      <c r="H271" t="str">
        <f t="shared" si="40"/>
        <v>行号04</v>
      </c>
      <c r="I271" s="16" t="str">
        <f t="shared" si="41"/>
        <v>序号07</v>
      </c>
      <c r="J271" s="36" t="s">
        <v>397</v>
      </c>
      <c r="K271" s="39">
        <v>3</v>
      </c>
      <c r="L271" s="39">
        <v>3</v>
      </c>
      <c r="M271" s="39"/>
      <c r="N271" s="39"/>
      <c r="O271" s="23" t="s">
        <v>1248</v>
      </c>
      <c r="P271" s="33"/>
      <c r="Q271" s="33"/>
    </row>
    <row r="272" spans="1:17">
      <c r="A272" s="12" t="s">
        <v>18</v>
      </c>
      <c r="B272" s="12" t="s">
        <v>398</v>
      </c>
      <c r="C272" s="14" t="s">
        <v>14</v>
      </c>
      <c r="D272" s="12" t="s">
        <v>14</v>
      </c>
      <c r="E272" s="15" t="str">
        <f t="shared" si="39"/>
        <v>030120101</v>
      </c>
      <c r="F272" s="16" t="s">
        <v>1222</v>
      </c>
      <c r="G272" s="16" t="str">
        <f>"抽屉"&amp;B272&amp;"成型镗刀"</f>
        <v>抽屉012成型镗刀</v>
      </c>
      <c r="H272" t="str">
        <f t="shared" si="40"/>
        <v>行号01</v>
      </c>
      <c r="I272" s="16" t="str">
        <f t="shared" si="41"/>
        <v>序号01</v>
      </c>
      <c r="J272" s="36" t="s">
        <v>399</v>
      </c>
      <c r="K272" s="39">
        <v>9</v>
      </c>
      <c r="L272" s="39">
        <v>5</v>
      </c>
      <c r="M272" s="39"/>
      <c r="N272" s="39"/>
      <c r="O272" s="23" t="s">
        <v>1237</v>
      </c>
      <c r="P272" s="33"/>
      <c r="Q272" s="33"/>
    </row>
    <row r="273" spans="1:17">
      <c r="A273" s="12" t="s">
        <v>18</v>
      </c>
      <c r="B273" s="12" t="s">
        <v>398</v>
      </c>
      <c r="C273" s="14" t="s">
        <v>14</v>
      </c>
      <c r="D273" s="12" t="s">
        <v>16</v>
      </c>
      <c r="E273" s="15" t="str">
        <f t="shared" si="39"/>
        <v>030120102</v>
      </c>
      <c r="F273" s="16" t="s">
        <v>1222</v>
      </c>
      <c r="G273" s="16" t="str">
        <f t="shared" ref="G273:G302" si="42">"抽屉"&amp;B273&amp;"成型镗刀"</f>
        <v>抽屉012成型镗刀</v>
      </c>
      <c r="H273" t="str">
        <f t="shared" si="40"/>
        <v>行号01</v>
      </c>
      <c r="I273" s="16" t="str">
        <f t="shared" si="41"/>
        <v>序号02</v>
      </c>
      <c r="J273" s="36" t="s">
        <v>400</v>
      </c>
      <c r="K273" s="39">
        <v>10</v>
      </c>
      <c r="L273" s="39">
        <v>5</v>
      </c>
      <c r="M273" s="39"/>
      <c r="N273" s="39"/>
      <c r="O273" s="23" t="s">
        <v>1237</v>
      </c>
      <c r="P273" s="33"/>
      <c r="Q273" s="33">
        <v>304.5</v>
      </c>
    </row>
    <row r="274" spans="1:17">
      <c r="A274" s="12" t="s">
        <v>18</v>
      </c>
      <c r="B274" s="12" t="s">
        <v>398</v>
      </c>
      <c r="C274" s="14" t="s">
        <v>14</v>
      </c>
      <c r="D274" s="12" t="s">
        <v>18</v>
      </c>
      <c r="E274" s="15" t="str">
        <f t="shared" si="39"/>
        <v>030120103</v>
      </c>
      <c r="F274" s="16" t="s">
        <v>1222</v>
      </c>
      <c r="G274" s="16" t="str">
        <f t="shared" si="42"/>
        <v>抽屉012成型镗刀</v>
      </c>
      <c r="H274" t="str">
        <f t="shared" si="40"/>
        <v>行号01</v>
      </c>
      <c r="I274" s="16" t="str">
        <f t="shared" si="41"/>
        <v>序号03</v>
      </c>
      <c r="J274" s="36" t="s">
        <v>401</v>
      </c>
      <c r="K274" s="39">
        <v>9</v>
      </c>
      <c r="L274" s="39">
        <v>5</v>
      </c>
      <c r="M274" s="39"/>
      <c r="N274" s="39"/>
      <c r="O274" s="23" t="s">
        <v>1237</v>
      </c>
      <c r="P274" s="33"/>
      <c r="Q274" s="33"/>
    </row>
    <row r="275" spans="1:17">
      <c r="A275" s="12" t="s">
        <v>18</v>
      </c>
      <c r="B275" s="12" t="s">
        <v>398</v>
      </c>
      <c r="C275" s="14" t="s">
        <v>14</v>
      </c>
      <c r="D275" s="12" t="s">
        <v>20</v>
      </c>
      <c r="E275" s="15" t="str">
        <f t="shared" si="39"/>
        <v>030120104</v>
      </c>
      <c r="F275" s="16" t="s">
        <v>1222</v>
      </c>
      <c r="G275" s="16" t="str">
        <f t="shared" si="42"/>
        <v>抽屉012成型镗刀</v>
      </c>
      <c r="H275" t="str">
        <f t="shared" si="40"/>
        <v>行号01</v>
      </c>
      <c r="I275" s="16" t="str">
        <f t="shared" si="41"/>
        <v>序号04</v>
      </c>
      <c r="J275" s="36" t="s">
        <v>402</v>
      </c>
      <c r="K275" s="39">
        <v>10</v>
      </c>
      <c r="L275" s="39">
        <v>5</v>
      </c>
      <c r="M275" s="39"/>
      <c r="N275" s="39"/>
      <c r="O275" s="23" t="s">
        <v>1237</v>
      </c>
      <c r="P275" s="33"/>
      <c r="Q275" s="33"/>
    </row>
    <row r="276" spans="1:17">
      <c r="A276" s="12" t="s">
        <v>18</v>
      </c>
      <c r="B276" s="12" t="s">
        <v>398</v>
      </c>
      <c r="C276" s="14" t="s">
        <v>14</v>
      </c>
      <c r="D276" s="12" t="s">
        <v>22</v>
      </c>
      <c r="E276" s="15" t="str">
        <f t="shared" si="39"/>
        <v>030120105</v>
      </c>
      <c r="F276" s="16" t="s">
        <v>1222</v>
      </c>
      <c r="G276" s="16" t="str">
        <f t="shared" si="42"/>
        <v>抽屉012成型镗刀</v>
      </c>
      <c r="H276" t="str">
        <f t="shared" si="40"/>
        <v>行号01</v>
      </c>
      <c r="I276" s="16" t="str">
        <f t="shared" si="41"/>
        <v>序号05</v>
      </c>
      <c r="J276" s="38"/>
      <c r="K276" s="41"/>
      <c r="L276" s="41"/>
      <c r="M276" s="19">
        <v>0</v>
      </c>
      <c r="N276" s="41">
        <v>0</v>
      </c>
      <c r="P276" s="33"/>
      <c r="Q276" s="33"/>
    </row>
    <row r="277" spans="1:17">
      <c r="A277" s="12" t="s">
        <v>18</v>
      </c>
      <c r="B277" s="12" t="s">
        <v>398</v>
      </c>
      <c r="C277" s="14" t="s">
        <v>14</v>
      </c>
      <c r="D277" s="12" t="s">
        <v>24</v>
      </c>
      <c r="E277" s="15" t="str">
        <f t="shared" si="39"/>
        <v>030120106</v>
      </c>
      <c r="F277" s="16" t="s">
        <v>1222</v>
      </c>
      <c r="G277" s="16" t="str">
        <f t="shared" si="42"/>
        <v>抽屉012成型镗刀</v>
      </c>
      <c r="H277" t="str">
        <f t="shared" si="40"/>
        <v>行号01</v>
      </c>
      <c r="I277" s="16" t="str">
        <f t="shared" si="41"/>
        <v>序号06</v>
      </c>
      <c r="J277" s="38"/>
      <c r="K277" s="41"/>
      <c r="L277" s="41"/>
      <c r="M277" s="19">
        <v>0</v>
      </c>
      <c r="N277" s="41">
        <v>0</v>
      </c>
      <c r="P277" s="33"/>
      <c r="Q277" s="33"/>
    </row>
    <row r="278" spans="1:17">
      <c r="A278" s="12" t="s">
        <v>18</v>
      </c>
      <c r="B278" s="12" t="s">
        <v>398</v>
      </c>
      <c r="C278" s="14" t="s">
        <v>14</v>
      </c>
      <c r="D278" s="12" t="s">
        <v>26</v>
      </c>
      <c r="E278" s="15" t="str">
        <f t="shared" si="39"/>
        <v>030120107</v>
      </c>
      <c r="F278" s="16" t="s">
        <v>1222</v>
      </c>
      <c r="G278" s="16" t="str">
        <f t="shared" si="42"/>
        <v>抽屉012成型镗刀</v>
      </c>
      <c r="H278" t="str">
        <f t="shared" si="40"/>
        <v>行号01</v>
      </c>
      <c r="I278" s="16" t="str">
        <f t="shared" si="41"/>
        <v>序号07</v>
      </c>
      <c r="J278" s="38"/>
      <c r="K278" s="41"/>
      <c r="L278" s="41"/>
      <c r="M278" s="19">
        <v>0</v>
      </c>
      <c r="N278" s="41">
        <v>0</v>
      </c>
      <c r="P278" s="33"/>
      <c r="Q278" s="33"/>
    </row>
    <row r="279" spans="1:17">
      <c r="A279" s="12" t="s">
        <v>18</v>
      </c>
      <c r="B279" s="12" t="s">
        <v>398</v>
      </c>
      <c r="C279" s="14" t="s">
        <v>14</v>
      </c>
      <c r="D279" s="12" t="s">
        <v>28</v>
      </c>
      <c r="E279" s="15" t="str">
        <f t="shared" si="39"/>
        <v>030120108</v>
      </c>
      <c r="F279" s="16" t="s">
        <v>1222</v>
      </c>
      <c r="G279" s="16" t="str">
        <f t="shared" si="42"/>
        <v>抽屉012成型镗刀</v>
      </c>
      <c r="H279" t="str">
        <f t="shared" si="40"/>
        <v>行号01</v>
      </c>
      <c r="I279" s="16" t="str">
        <f t="shared" si="41"/>
        <v>序号08</v>
      </c>
      <c r="J279" s="38"/>
      <c r="K279" s="41"/>
      <c r="L279" s="41"/>
      <c r="M279" s="19">
        <v>0</v>
      </c>
      <c r="N279" s="41">
        <v>0</v>
      </c>
      <c r="P279" s="33"/>
      <c r="Q279" s="33"/>
    </row>
    <row r="280" spans="1:17">
      <c r="A280" s="12" t="s">
        <v>18</v>
      </c>
      <c r="B280" s="12" t="s">
        <v>398</v>
      </c>
      <c r="C280" s="12" t="s">
        <v>16</v>
      </c>
      <c r="D280" s="18" t="s">
        <v>14</v>
      </c>
      <c r="E280" s="15" t="str">
        <f t="shared" si="39"/>
        <v>030120201</v>
      </c>
      <c r="F280" s="16" t="s">
        <v>1222</v>
      </c>
      <c r="G280" s="16" t="str">
        <f t="shared" si="42"/>
        <v>抽屉012成型镗刀</v>
      </c>
      <c r="H280" t="str">
        <f t="shared" si="40"/>
        <v>行号02</v>
      </c>
      <c r="I280" s="16" t="str">
        <f t="shared" si="41"/>
        <v>序号01</v>
      </c>
      <c r="J280" s="36" t="s">
        <v>403</v>
      </c>
      <c r="K280" s="39">
        <v>9</v>
      </c>
      <c r="L280" s="39">
        <v>5</v>
      </c>
      <c r="M280" s="39"/>
      <c r="N280" s="39"/>
      <c r="O280" s="23" t="s">
        <v>1237</v>
      </c>
      <c r="P280" s="33"/>
      <c r="Q280" s="33">
        <v>297.75</v>
      </c>
    </row>
    <row r="281" spans="1:17">
      <c r="A281" s="12" t="s">
        <v>18</v>
      </c>
      <c r="B281" s="12" t="s">
        <v>398</v>
      </c>
      <c r="C281" s="12" t="s">
        <v>16</v>
      </c>
      <c r="D281" s="18" t="s">
        <v>16</v>
      </c>
      <c r="E281" s="15" t="str">
        <f t="shared" si="39"/>
        <v>030120202</v>
      </c>
      <c r="F281" s="16" t="s">
        <v>1222</v>
      </c>
      <c r="G281" s="16" t="str">
        <f t="shared" si="42"/>
        <v>抽屉012成型镗刀</v>
      </c>
      <c r="H281" t="str">
        <f t="shared" si="40"/>
        <v>行号02</v>
      </c>
      <c r="I281" s="16" t="str">
        <f t="shared" si="41"/>
        <v>序号02</v>
      </c>
      <c r="J281" s="36" t="s">
        <v>404</v>
      </c>
      <c r="K281" s="39">
        <v>10</v>
      </c>
      <c r="L281" s="39">
        <v>5</v>
      </c>
      <c r="M281" s="39"/>
      <c r="N281" s="39"/>
      <c r="O281" s="23" t="s">
        <v>1237</v>
      </c>
      <c r="P281" s="33"/>
      <c r="Q281" s="33">
        <v>288</v>
      </c>
    </row>
    <row r="282" spans="1:17">
      <c r="A282" s="12" t="s">
        <v>18</v>
      </c>
      <c r="B282" s="12" t="s">
        <v>398</v>
      </c>
      <c r="C282" s="12" t="s">
        <v>16</v>
      </c>
      <c r="D282" s="18" t="s">
        <v>18</v>
      </c>
      <c r="E282" s="15" t="str">
        <f t="shared" si="39"/>
        <v>030120203</v>
      </c>
      <c r="F282" s="16" t="s">
        <v>1222</v>
      </c>
      <c r="G282" s="16" t="str">
        <f t="shared" si="42"/>
        <v>抽屉012成型镗刀</v>
      </c>
      <c r="H282" t="str">
        <f t="shared" si="40"/>
        <v>行号02</v>
      </c>
      <c r="I282" s="16" t="str">
        <f t="shared" si="41"/>
        <v>序号03</v>
      </c>
      <c r="J282" s="36" t="s">
        <v>405</v>
      </c>
      <c r="K282" s="39">
        <v>10</v>
      </c>
      <c r="L282" s="39">
        <v>5</v>
      </c>
      <c r="M282" s="39"/>
      <c r="N282" s="39"/>
      <c r="O282" s="23" t="s">
        <v>1237</v>
      </c>
      <c r="P282" s="33">
        <v>996711</v>
      </c>
      <c r="Q282" s="33">
        <v>249.75</v>
      </c>
    </row>
    <row r="283" spans="1:17">
      <c r="A283" s="12" t="s">
        <v>18</v>
      </c>
      <c r="B283" s="12" t="s">
        <v>398</v>
      </c>
      <c r="C283" s="12" t="s">
        <v>16</v>
      </c>
      <c r="D283" s="18" t="s">
        <v>20</v>
      </c>
      <c r="E283" s="15" t="str">
        <f>A283&amp;B283&amp;C283&amp;D283</f>
        <v>030120204</v>
      </c>
      <c r="F283" s="16" t="s">
        <v>1222</v>
      </c>
      <c r="G283" s="16" t="str">
        <f t="shared" ref="G283" si="43">"抽屉"&amp;B283&amp;"成型镗刀"</f>
        <v>抽屉012成型镗刀</v>
      </c>
      <c r="H283" t="str">
        <f t="shared" ref="H283" si="44">"行号"&amp;C283</f>
        <v>行号02</v>
      </c>
      <c r="I283" s="16" t="str">
        <f t="shared" ref="I283" si="45">"序号"&amp;D283</f>
        <v>序号04</v>
      </c>
      <c r="J283" s="38"/>
      <c r="K283" s="41"/>
      <c r="L283" s="41"/>
      <c r="M283" s="41">
        <v>0</v>
      </c>
      <c r="N283" s="41">
        <v>0</v>
      </c>
      <c r="O283" s="23"/>
      <c r="P283" s="33"/>
      <c r="Q283" s="33"/>
    </row>
    <row r="284" spans="1:17">
      <c r="A284" s="12" t="s">
        <v>18</v>
      </c>
      <c r="B284" s="12" t="s">
        <v>398</v>
      </c>
      <c r="C284" s="12" t="s">
        <v>16</v>
      </c>
      <c r="D284" s="18" t="s">
        <v>22</v>
      </c>
      <c r="E284" s="15" t="str">
        <f t="shared" si="39"/>
        <v>030120205</v>
      </c>
      <c r="F284" s="16" t="s">
        <v>1222</v>
      </c>
      <c r="G284" s="16" t="str">
        <f t="shared" si="42"/>
        <v>抽屉012成型镗刀</v>
      </c>
      <c r="H284" t="str">
        <f t="shared" si="40"/>
        <v>行号02</v>
      </c>
      <c r="I284" s="16" t="str">
        <f t="shared" si="41"/>
        <v>序号05</v>
      </c>
      <c r="J284" s="38"/>
      <c r="K284" s="41"/>
      <c r="L284" s="41"/>
      <c r="M284" s="19">
        <v>0</v>
      </c>
      <c r="N284" s="41">
        <v>0</v>
      </c>
      <c r="P284" s="33"/>
      <c r="Q284" s="33"/>
    </row>
    <row r="285" spans="1:17">
      <c r="A285" s="12" t="s">
        <v>18</v>
      </c>
      <c r="B285" s="12" t="s">
        <v>398</v>
      </c>
      <c r="C285" s="12" t="s">
        <v>16</v>
      </c>
      <c r="D285" s="18" t="s">
        <v>24</v>
      </c>
      <c r="E285" s="15" t="str">
        <f t="shared" si="39"/>
        <v>030120206</v>
      </c>
      <c r="F285" s="16" t="s">
        <v>1222</v>
      </c>
      <c r="G285" s="16" t="str">
        <f t="shared" si="42"/>
        <v>抽屉012成型镗刀</v>
      </c>
      <c r="H285" t="str">
        <f t="shared" si="40"/>
        <v>行号02</v>
      </c>
      <c r="I285" s="16" t="str">
        <f t="shared" si="41"/>
        <v>序号06</v>
      </c>
      <c r="J285" s="38"/>
      <c r="K285" s="41"/>
      <c r="L285" s="41"/>
      <c r="M285" s="19">
        <v>0</v>
      </c>
      <c r="N285" s="41">
        <v>0</v>
      </c>
      <c r="P285" s="33"/>
      <c r="Q285" s="33"/>
    </row>
    <row r="286" spans="1:17">
      <c r="A286" s="12" t="s">
        <v>18</v>
      </c>
      <c r="B286" s="12" t="s">
        <v>398</v>
      </c>
      <c r="C286" s="12" t="s">
        <v>16</v>
      </c>
      <c r="D286" s="18" t="s">
        <v>26</v>
      </c>
      <c r="E286" s="15" t="str">
        <f t="shared" si="39"/>
        <v>030120207</v>
      </c>
      <c r="F286" s="16" t="s">
        <v>1222</v>
      </c>
      <c r="G286" s="16" t="str">
        <f t="shared" si="42"/>
        <v>抽屉012成型镗刀</v>
      </c>
      <c r="H286" t="str">
        <f t="shared" si="40"/>
        <v>行号02</v>
      </c>
      <c r="I286" s="16" t="str">
        <f t="shared" si="41"/>
        <v>序号07</v>
      </c>
      <c r="J286" s="38"/>
      <c r="K286" s="41"/>
      <c r="L286" s="41"/>
      <c r="M286" s="19">
        <v>0</v>
      </c>
      <c r="N286" s="41">
        <v>0</v>
      </c>
      <c r="P286" s="33"/>
      <c r="Q286" s="33"/>
    </row>
    <row r="287" spans="1:17">
      <c r="A287" s="12" t="s">
        <v>18</v>
      </c>
      <c r="B287" s="12" t="s">
        <v>398</v>
      </c>
      <c r="C287" s="12" t="s">
        <v>16</v>
      </c>
      <c r="D287" s="18" t="s">
        <v>28</v>
      </c>
      <c r="E287" s="15" t="str">
        <f t="shared" si="39"/>
        <v>030120208</v>
      </c>
      <c r="F287" s="16" t="s">
        <v>1222</v>
      </c>
      <c r="G287" s="16" t="str">
        <f t="shared" si="42"/>
        <v>抽屉012成型镗刀</v>
      </c>
      <c r="H287" t="str">
        <f t="shared" si="40"/>
        <v>行号02</v>
      </c>
      <c r="I287" s="16" t="str">
        <f t="shared" si="41"/>
        <v>序号08</v>
      </c>
      <c r="J287" s="38"/>
      <c r="K287" s="41"/>
      <c r="L287" s="41"/>
      <c r="M287" s="19">
        <v>0</v>
      </c>
      <c r="N287" s="41">
        <v>0</v>
      </c>
      <c r="P287" s="33"/>
      <c r="Q287" s="33"/>
    </row>
    <row r="288" spans="1:17">
      <c r="A288" s="12" t="s">
        <v>18</v>
      </c>
      <c r="B288" s="12" t="s">
        <v>398</v>
      </c>
      <c r="C288" s="14" t="s">
        <v>18</v>
      </c>
      <c r="D288" s="12" t="s">
        <v>14</v>
      </c>
      <c r="E288" s="15" t="str">
        <f t="shared" si="39"/>
        <v>030120301</v>
      </c>
      <c r="F288" s="16" t="s">
        <v>1222</v>
      </c>
      <c r="G288" s="16" t="str">
        <f t="shared" si="42"/>
        <v>抽屉012成型镗刀</v>
      </c>
      <c r="H288" t="str">
        <f t="shared" si="40"/>
        <v>行号03</v>
      </c>
      <c r="I288" s="16" t="str">
        <f t="shared" si="41"/>
        <v>序号01</v>
      </c>
      <c r="J288" s="36" t="s">
        <v>407</v>
      </c>
      <c r="K288" s="39">
        <v>5</v>
      </c>
      <c r="L288" s="39">
        <v>5</v>
      </c>
      <c r="M288" s="39"/>
      <c r="N288" s="39"/>
      <c r="O288" s="23" t="s">
        <v>1237</v>
      </c>
      <c r="P288" s="33"/>
      <c r="Q288" s="33">
        <v>249.75</v>
      </c>
    </row>
    <row r="289" spans="1:17">
      <c r="A289" s="12" t="s">
        <v>18</v>
      </c>
      <c r="B289" s="12" t="s">
        <v>398</v>
      </c>
      <c r="C289" s="14" t="s">
        <v>18</v>
      </c>
      <c r="D289" s="12" t="s">
        <v>16</v>
      </c>
      <c r="E289" s="15" t="str">
        <f t="shared" si="39"/>
        <v>030120302</v>
      </c>
      <c r="F289" s="16" t="s">
        <v>1222</v>
      </c>
      <c r="G289" s="16" t="str">
        <f t="shared" si="42"/>
        <v>抽屉012成型镗刀</v>
      </c>
      <c r="H289" t="str">
        <f t="shared" si="40"/>
        <v>行号03</v>
      </c>
      <c r="I289" s="16" t="str">
        <f t="shared" si="41"/>
        <v>序号02</v>
      </c>
      <c r="J289" s="36" t="s">
        <v>408</v>
      </c>
      <c r="K289" s="39">
        <v>5</v>
      </c>
      <c r="L289" s="39">
        <v>5</v>
      </c>
      <c r="M289" s="39"/>
      <c r="N289" s="39"/>
      <c r="O289" s="23" t="s">
        <v>1237</v>
      </c>
      <c r="P289" s="33">
        <v>996713</v>
      </c>
      <c r="Q289" s="33">
        <v>264</v>
      </c>
    </row>
    <row r="290" spans="1:17">
      <c r="A290" s="12" t="s">
        <v>18</v>
      </c>
      <c r="B290" s="12" t="s">
        <v>398</v>
      </c>
      <c r="C290" s="14" t="s">
        <v>18</v>
      </c>
      <c r="D290" s="12" t="s">
        <v>18</v>
      </c>
      <c r="E290" s="15" t="str">
        <f t="shared" ref="E290" si="46">A290&amp;B290&amp;C290&amp;D290</f>
        <v>030120303</v>
      </c>
      <c r="F290" s="16" t="s">
        <v>1222</v>
      </c>
      <c r="G290" s="16" t="str">
        <f t="shared" ref="G290" si="47">"抽屉"&amp;B290&amp;"成型镗刀"</f>
        <v>抽屉012成型镗刀</v>
      </c>
      <c r="H290" t="str">
        <f t="shared" ref="H290" si="48">"行号"&amp;C290</f>
        <v>行号03</v>
      </c>
      <c r="I290" s="16" t="str">
        <f t="shared" ref="I290" si="49">"序号"&amp;D290</f>
        <v>序号03</v>
      </c>
      <c r="J290" s="38"/>
      <c r="K290" s="41"/>
      <c r="L290" s="41"/>
      <c r="M290" s="19">
        <v>0</v>
      </c>
      <c r="N290" s="41">
        <v>0</v>
      </c>
      <c r="O290" s="23"/>
      <c r="P290" s="33"/>
      <c r="Q290" s="33"/>
    </row>
    <row r="291" spans="1:17">
      <c r="A291" s="12" t="s">
        <v>18</v>
      </c>
      <c r="B291" s="12" t="s">
        <v>398</v>
      </c>
      <c r="C291" s="14" t="s">
        <v>18</v>
      </c>
      <c r="D291" s="12" t="s">
        <v>20</v>
      </c>
      <c r="E291" s="15" t="str">
        <f t="shared" si="39"/>
        <v>030120304</v>
      </c>
      <c r="F291" s="16" t="s">
        <v>1222</v>
      </c>
      <c r="G291" s="16" t="str">
        <f t="shared" si="42"/>
        <v>抽屉012成型镗刀</v>
      </c>
      <c r="H291" t="str">
        <f t="shared" si="40"/>
        <v>行号03</v>
      </c>
      <c r="I291" s="16" t="str">
        <f t="shared" si="41"/>
        <v>序号04</v>
      </c>
      <c r="J291" s="36" t="s">
        <v>410</v>
      </c>
      <c r="K291" s="39">
        <v>5</v>
      </c>
      <c r="L291" s="39">
        <v>5</v>
      </c>
      <c r="M291" s="39"/>
      <c r="N291" s="39"/>
      <c r="O291" s="23" t="s">
        <v>1237</v>
      </c>
      <c r="P291" s="33">
        <v>967342</v>
      </c>
      <c r="Q291" s="33">
        <v>264</v>
      </c>
    </row>
    <row r="292" spans="1:17">
      <c r="A292" s="12" t="s">
        <v>18</v>
      </c>
      <c r="B292" s="12" t="s">
        <v>398</v>
      </c>
      <c r="C292" s="14" t="s">
        <v>18</v>
      </c>
      <c r="D292" s="12" t="s">
        <v>22</v>
      </c>
      <c r="E292" s="15" t="str">
        <f t="shared" si="39"/>
        <v>030120305</v>
      </c>
      <c r="F292" s="16" t="s">
        <v>1222</v>
      </c>
      <c r="G292" s="16" t="str">
        <f t="shared" si="42"/>
        <v>抽屉012成型镗刀</v>
      </c>
      <c r="H292" t="str">
        <f t="shared" si="40"/>
        <v>行号03</v>
      </c>
      <c r="I292" s="16" t="str">
        <f t="shared" si="41"/>
        <v>序号05</v>
      </c>
      <c r="J292" s="38"/>
      <c r="K292" s="41"/>
      <c r="L292" s="41"/>
      <c r="M292" s="19">
        <v>0</v>
      </c>
      <c r="N292" s="41">
        <v>0</v>
      </c>
      <c r="P292" s="33"/>
      <c r="Q292" s="33"/>
    </row>
    <row r="293" spans="1:17">
      <c r="A293" s="12" t="s">
        <v>18</v>
      </c>
      <c r="B293" s="12" t="s">
        <v>398</v>
      </c>
      <c r="C293" s="14" t="s">
        <v>18</v>
      </c>
      <c r="D293" s="12" t="s">
        <v>24</v>
      </c>
      <c r="E293" s="15" t="str">
        <f t="shared" si="39"/>
        <v>030120306</v>
      </c>
      <c r="F293" s="16" t="s">
        <v>1222</v>
      </c>
      <c r="G293" s="16" t="str">
        <f t="shared" si="42"/>
        <v>抽屉012成型镗刀</v>
      </c>
      <c r="H293" t="str">
        <f t="shared" si="40"/>
        <v>行号03</v>
      </c>
      <c r="I293" s="16" t="str">
        <f t="shared" si="41"/>
        <v>序号06</v>
      </c>
      <c r="J293" s="38"/>
      <c r="K293" s="41"/>
      <c r="L293" s="41"/>
      <c r="M293" s="19">
        <v>0</v>
      </c>
      <c r="N293" s="41">
        <v>0</v>
      </c>
      <c r="P293" s="33"/>
      <c r="Q293" s="33"/>
    </row>
    <row r="294" spans="1:17">
      <c r="A294" s="12" t="s">
        <v>18</v>
      </c>
      <c r="B294" s="12" t="s">
        <v>398</v>
      </c>
      <c r="C294" s="14" t="s">
        <v>18</v>
      </c>
      <c r="D294" s="12" t="s">
        <v>26</v>
      </c>
      <c r="E294" s="15" t="str">
        <f t="shared" si="39"/>
        <v>030120307</v>
      </c>
      <c r="F294" s="16" t="s">
        <v>1222</v>
      </c>
      <c r="G294" s="16" t="str">
        <f t="shared" si="42"/>
        <v>抽屉012成型镗刀</v>
      </c>
      <c r="H294" t="str">
        <f t="shared" si="40"/>
        <v>行号03</v>
      </c>
      <c r="I294" s="16" t="str">
        <f t="shared" si="41"/>
        <v>序号07</v>
      </c>
      <c r="J294" s="38"/>
      <c r="K294" s="41"/>
      <c r="L294" s="41"/>
      <c r="M294" s="19">
        <v>0</v>
      </c>
      <c r="N294" s="41">
        <v>0</v>
      </c>
      <c r="P294" s="33"/>
      <c r="Q294" s="33"/>
    </row>
    <row r="295" spans="1:17">
      <c r="A295" s="12" t="s">
        <v>18</v>
      </c>
      <c r="B295" s="12" t="s">
        <v>398</v>
      </c>
      <c r="C295" s="14" t="s">
        <v>18</v>
      </c>
      <c r="D295" s="12" t="s">
        <v>28</v>
      </c>
      <c r="E295" s="15" t="str">
        <f t="shared" si="39"/>
        <v>030120308</v>
      </c>
      <c r="F295" s="16" t="s">
        <v>1222</v>
      </c>
      <c r="G295" s="16" t="str">
        <f t="shared" si="42"/>
        <v>抽屉012成型镗刀</v>
      </c>
      <c r="H295" t="str">
        <f t="shared" si="40"/>
        <v>行号03</v>
      </c>
      <c r="I295" s="16" t="str">
        <f t="shared" si="41"/>
        <v>序号08</v>
      </c>
      <c r="J295" s="38"/>
      <c r="K295" s="41"/>
      <c r="L295" s="41"/>
      <c r="M295" s="19">
        <v>0</v>
      </c>
      <c r="N295" s="41">
        <v>0</v>
      </c>
      <c r="P295" s="33"/>
      <c r="Q295" s="33"/>
    </row>
    <row r="296" spans="1:17">
      <c r="A296" s="12" t="s">
        <v>18</v>
      </c>
      <c r="B296" s="12" t="s">
        <v>398</v>
      </c>
      <c r="C296" s="12" t="s">
        <v>20</v>
      </c>
      <c r="D296" s="18" t="s">
        <v>14</v>
      </c>
      <c r="E296" s="15" t="str">
        <f t="shared" si="39"/>
        <v>030120401</v>
      </c>
      <c r="F296" s="16" t="s">
        <v>1222</v>
      </c>
      <c r="G296" s="16" t="str">
        <f t="shared" si="42"/>
        <v>抽屉012成型镗刀</v>
      </c>
      <c r="H296" t="str">
        <f t="shared" si="40"/>
        <v>行号04</v>
      </c>
      <c r="I296" s="16" t="str">
        <f t="shared" si="41"/>
        <v>序号01</v>
      </c>
      <c r="J296" s="36" t="s">
        <v>411</v>
      </c>
      <c r="K296" s="39">
        <v>5</v>
      </c>
      <c r="L296" s="39">
        <v>5</v>
      </c>
      <c r="M296" s="39"/>
      <c r="N296" s="39"/>
      <c r="O296" s="23" t="s">
        <v>1237</v>
      </c>
      <c r="P296" s="33">
        <v>969431</v>
      </c>
      <c r="Q296" s="33">
        <v>277.5</v>
      </c>
    </row>
    <row r="297" spans="1:17">
      <c r="A297" s="12" t="s">
        <v>18</v>
      </c>
      <c r="B297" s="12" t="s">
        <v>398</v>
      </c>
      <c r="C297" s="12" t="s">
        <v>20</v>
      </c>
      <c r="D297" s="18" t="s">
        <v>16</v>
      </c>
      <c r="E297" s="15" t="str">
        <f t="shared" si="39"/>
        <v>030120402</v>
      </c>
      <c r="F297" s="16" t="s">
        <v>1222</v>
      </c>
      <c r="G297" s="16" t="str">
        <f t="shared" si="42"/>
        <v>抽屉012成型镗刀</v>
      </c>
      <c r="H297" t="str">
        <f t="shared" si="40"/>
        <v>行号04</v>
      </c>
      <c r="I297" s="16" t="str">
        <f t="shared" si="41"/>
        <v>序号02</v>
      </c>
      <c r="J297" s="36" t="s">
        <v>412</v>
      </c>
      <c r="K297" s="39">
        <v>5</v>
      </c>
      <c r="L297" s="39">
        <v>5</v>
      </c>
      <c r="M297" s="39"/>
      <c r="N297" s="39"/>
      <c r="O297" s="23" t="s">
        <v>1237</v>
      </c>
      <c r="P297" s="33">
        <v>996928</v>
      </c>
      <c r="Q297" s="33">
        <v>266.25</v>
      </c>
    </row>
    <row r="298" spans="1:17">
      <c r="A298" s="12" t="s">
        <v>18</v>
      </c>
      <c r="B298" s="12" t="s">
        <v>398</v>
      </c>
      <c r="C298" s="12" t="s">
        <v>20</v>
      </c>
      <c r="D298" s="18" t="s">
        <v>18</v>
      </c>
      <c r="E298" s="15" t="str">
        <f t="shared" si="39"/>
        <v>030120403</v>
      </c>
      <c r="F298" s="16" t="s">
        <v>1222</v>
      </c>
      <c r="G298" s="16" t="str">
        <f t="shared" si="42"/>
        <v>抽屉012成型镗刀</v>
      </c>
      <c r="H298" t="str">
        <f t="shared" si="40"/>
        <v>行号04</v>
      </c>
      <c r="I298" s="16" t="str">
        <f t="shared" si="41"/>
        <v>序号03</v>
      </c>
      <c r="J298" s="36" t="s">
        <v>413</v>
      </c>
      <c r="K298" s="39">
        <v>5</v>
      </c>
      <c r="L298" s="39">
        <v>5</v>
      </c>
      <c r="M298" s="39"/>
      <c r="N298" s="39"/>
      <c r="O298" s="23" t="s">
        <v>1237</v>
      </c>
      <c r="P298" s="33">
        <v>996849</v>
      </c>
      <c r="Q298" s="33">
        <v>264</v>
      </c>
    </row>
    <row r="299" spans="1:17">
      <c r="A299" s="12" t="s">
        <v>18</v>
      </c>
      <c r="B299" s="12" t="s">
        <v>398</v>
      </c>
      <c r="C299" s="12" t="s">
        <v>20</v>
      </c>
      <c r="D299" s="18" t="s">
        <v>20</v>
      </c>
      <c r="E299" s="15" t="str">
        <f t="shared" si="39"/>
        <v>030120404</v>
      </c>
      <c r="F299" s="16" t="s">
        <v>1222</v>
      </c>
      <c r="G299" s="16" t="str">
        <f t="shared" si="42"/>
        <v>抽屉012成型镗刀</v>
      </c>
      <c r="H299" t="str">
        <f t="shared" si="40"/>
        <v>行号04</v>
      </c>
      <c r="I299" s="16" t="str">
        <f t="shared" si="41"/>
        <v>序号04</v>
      </c>
      <c r="J299" s="36" t="s">
        <v>414</v>
      </c>
      <c r="K299" s="39">
        <v>5</v>
      </c>
      <c r="L299" s="39">
        <v>5</v>
      </c>
      <c r="M299" s="39"/>
      <c r="N299" s="39"/>
      <c r="O299" s="23" t="s">
        <v>1237</v>
      </c>
      <c r="P299" s="33"/>
      <c r="Q299" s="33">
        <v>304.5</v>
      </c>
    </row>
    <row r="300" spans="1:17">
      <c r="A300" s="12" t="s">
        <v>18</v>
      </c>
      <c r="B300" s="12" t="s">
        <v>398</v>
      </c>
      <c r="C300" s="12" t="s">
        <v>20</v>
      </c>
      <c r="D300" s="18" t="s">
        <v>22</v>
      </c>
      <c r="E300" s="15" t="str">
        <f t="shared" si="39"/>
        <v>030120405</v>
      </c>
      <c r="F300" s="16" t="s">
        <v>1222</v>
      </c>
      <c r="G300" s="16" t="str">
        <f t="shared" si="42"/>
        <v>抽屉012成型镗刀</v>
      </c>
      <c r="H300" t="str">
        <f t="shared" si="40"/>
        <v>行号04</v>
      </c>
      <c r="I300" s="16" t="str">
        <f t="shared" si="41"/>
        <v>序号05</v>
      </c>
      <c r="J300" s="38"/>
      <c r="K300" s="41"/>
      <c r="L300" s="41"/>
      <c r="M300" s="19">
        <v>0</v>
      </c>
      <c r="N300" s="41">
        <v>0</v>
      </c>
      <c r="P300" s="33"/>
      <c r="Q300" s="33"/>
    </row>
    <row r="301" spans="1:17">
      <c r="A301" s="12" t="s">
        <v>18</v>
      </c>
      <c r="B301" s="12" t="s">
        <v>398</v>
      </c>
      <c r="C301" s="12" t="s">
        <v>20</v>
      </c>
      <c r="D301" s="18" t="s">
        <v>24</v>
      </c>
      <c r="E301" s="15" t="str">
        <f t="shared" si="39"/>
        <v>030120406</v>
      </c>
      <c r="F301" s="16" t="s">
        <v>1222</v>
      </c>
      <c r="G301" s="16" t="str">
        <f t="shared" si="42"/>
        <v>抽屉012成型镗刀</v>
      </c>
      <c r="H301" t="str">
        <f t="shared" si="40"/>
        <v>行号04</v>
      </c>
      <c r="I301" s="16" t="str">
        <f t="shared" si="41"/>
        <v>序号06</v>
      </c>
      <c r="J301" s="38"/>
      <c r="K301" s="41"/>
      <c r="L301" s="41"/>
      <c r="M301" s="19">
        <v>0</v>
      </c>
      <c r="N301" s="41">
        <v>0</v>
      </c>
      <c r="P301" s="33"/>
      <c r="Q301" s="33"/>
    </row>
    <row r="302" spans="1:17">
      <c r="A302" s="12" t="s">
        <v>18</v>
      </c>
      <c r="B302" s="12" t="s">
        <v>398</v>
      </c>
      <c r="C302" s="12" t="s">
        <v>20</v>
      </c>
      <c r="D302" s="18" t="s">
        <v>26</v>
      </c>
      <c r="E302" s="15" t="str">
        <f t="shared" si="39"/>
        <v>030120407</v>
      </c>
      <c r="F302" s="16" t="s">
        <v>1222</v>
      </c>
      <c r="G302" s="16" t="str">
        <f t="shared" si="42"/>
        <v>抽屉012成型镗刀</v>
      </c>
      <c r="H302" t="str">
        <f t="shared" si="40"/>
        <v>行号04</v>
      </c>
      <c r="I302" s="16" t="str">
        <f t="shared" si="41"/>
        <v>序号07</v>
      </c>
      <c r="J302" s="38"/>
      <c r="K302" s="41"/>
      <c r="L302" s="41"/>
      <c r="M302" s="19">
        <v>0</v>
      </c>
      <c r="N302" s="41">
        <v>0</v>
      </c>
      <c r="P302" s="33"/>
      <c r="Q302" s="33"/>
    </row>
    <row r="303" spans="1:17">
      <c r="A303" s="12" t="s">
        <v>18</v>
      </c>
      <c r="B303" s="12" t="s">
        <v>415</v>
      </c>
      <c r="C303" s="14" t="s">
        <v>14</v>
      </c>
      <c r="D303" s="12" t="s">
        <v>14</v>
      </c>
      <c r="E303" s="15" t="str">
        <f t="shared" si="39"/>
        <v>030130101</v>
      </c>
      <c r="F303" s="16" t="s">
        <v>1222</v>
      </c>
      <c r="G303" s="16" t="str">
        <f>"抽屉"&amp;B303&amp;"成型镗刀"</f>
        <v>抽屉013成型镗刀</v>
      </c>
      <c r="H303" t="str">
        <f t="shared" si="40"/>
        <v>行号01</v>
      </c>
      <c r="I303" s="16" t="str">
        <f t="shared" si="41"/>
        <v>序号01</v>
      </c>
      <c r="J303" s="36" t="s">
        <v>416</v>
      </c>
      <c r="K303" s="39">
        <v>5</v>
      </c>
      <c r="L303" s="39">
        <v>5</v>
      </c>
      <c r="M303" s="39"/>
      <c r="N303" s="39"/>
      <c r="O303" s="23" t="s">
        <v>1237</v>
      </c>
      <c r="P303" s="33">
        <v>967242</v>
      </c>
      <c r="Q303" s="33">
        <v>321</v>
      </c>
    </row>
    <row r="304" spans="1:17">
      <c r="A304" s="12" t="s">
        <v>18</v>
      </c>
      <c r="B304" s="12" t="s">
        <v>415</v>
      </c>
      <c r="C304" s="14" t="s">
        <v>14</v>
      </c>
      <c r="D304" s="12" t="s">
        <v>16</v>
      </c>
      <c r="E304" s="15" t="str">
        <f t="shared" si="39"/>
        <v>030130102</v>
      </c>
      <c r="F304" s="16" t="s">
        <v>1222</v>
      </c>
      <c r="G304" s="16" t="str">
        <f t="shared" ref="G304:G319" si="50">"抽屉"&amp;B304&amp;"成型镗刀"</f>
        <v>抽屉013成型镗刀</v>
      </c>
      <c r="H304" t="str">
        <f t="shared" si="40"/>
        <v>行号01</v>
      </c>
      <c r="I304" s="16" t="str">
        <f t="shared" si="41"/>
        <v>序号02</v>
      </c>
      <c r="J304" s="36" t="s">
        <v>417</v>
      </c>
      <c r="K304" s="39">
        <v>5</v>
      </c>
      <c r="L304" s="39">
        <v>5</v>
      </c>
      <c r="M304" s="39"/>
      <c r="N304" s="39"/>
      <c r="O304" s="23" t="s">
        <v>1237</v>
      </c>
      <c r="P304" s="33"/>
      <c r="Q304" s="33">
        <v>279.75</v>
      </c>
    </row>
    <row r="305" spans="1:17">
      <c r="A305" s="12" t="s">
        <v>18</v>
      </c>
      <c r="B305" s="12" t="s">
        <v>415</v>
      </c>
      <c r="C305" s="14" t="s">
        <v>14</v>
      </c>
      <c r="D305" s="12" t="s">
        <v>18</v>
      </c>
      <c r="E305" s="15" t="str">
        <f t="shared" si="39"/>
        <v>030130103</v>
      </c>
      <c r="F305" s="16" t="s">
        <v>1222</v>
      </c>
      <c r="G305" s="16" t="str">
        <f t="shared" si="50"/>
        <v>抽屉013成型镗刀</v>
      </c>
      <c r="H305" t="str">
        <f t="shared" si="40"/>
        <v>行号01</v>
      </c>
      <c r="I305" s="16" t="str">
        <f t="shared" si="41"/>
        <v>序号03</v>
      </c>
      <c r="J305" s="36" t="s">
        <v>418</v>
      </c>
      <c r="K305" s="39">
        <v>10</v>
      </c>
      <c r="L305" s="39">
        <v>5</v>
      </c>
      <c r="M305" s="39"/>
      <c r="N305" s="39"/>
      <c r="O305" s="23" t="s">
        <v>1248</v>
      </c>
      <c r="P305" s="33">
        <v>996930</v>
      </c>
      <c r="Q305" s="33">
        <v>384.75</v>
      </c>
    </row>
    <row r="306" spans="1:17">
      <c r="A306" s="12" t="s">
        <v>18</v>
      </c>
      <c r="B306" s="12" t="s">
        <v>415</v>
      </c>
      <c r="C306" s="14" t="s">
        <v>14</v>
      </c>
      <c r="D306" s="12" t="s">
        <v>20</v>
      </c>
      <c r="E306" s="15" t="str">
        <f t="shared" si="39"/>
        <v>030130104</v>
      </c>
      <c r="F306" s="16" t="s">
        <v>1222</v>
      </c>
      <c r="G306" s="16" t="str">
        <f t="shared" si="50"/>
        <v>抽屉013成型镗刀</v>
      </c>
      <c r="H306" t="str">
        <f t="shared" si="40"/>
        <v>行号01</v>
      </c>
      <c r="I306" s="16" t="str">
        <f t="shared" si="41"/>
        <v>序号04</v>
      </c>
      <c r="J306" s="36" t="s">
        <v>419</v>
      </c>
      <c r="K306" s="39">
        <v>5</v>
      </c>
      <c r="L306" s="39">
        <v>5</v>
      </c>
      <c r="M306" s="39"/>
      <c r="N306" s="39"/>
      <c r="O306" s="23" t="s">
        <v>1237</v>
      </c>
      <c r="P306" s="33"/>
      <c r="Q306" s="33">
        <v>384.75</v>
      </c>
    </row>
    <row r="307" spans="1:17">
      <c r="A307" s="12" t="s">
        <v>18</v>
      </c>
      <c r="B307" s="12" t="s">
        <v>415</v>
      </c>
      <c r="C307" s="12" t="s">
        <v>16</v>
      </c>
      <c r="D307" s="18" t="s">
        <v>14</v>
      </c>
      <c r="E307" s="15" t="str">
        <f t="shared" si="39"/>
        <v>030130201</v>
      </c>
      <c r="F307" s="16" t="s">
        <v>1222</v>
      </c>
      <c r="G307" s="16" t="str">
        <f t="shared" si="50"/>
        <v>抽屉013成型镗刀</v>
      </c>
      <c r="H307" t="str">
        <f t="shared" si="40"/>
        <v>行号02</v>
      </c>
      <c r="I307" s="16" t="str">
        <f t="shared" si="41"/>
        <v>序号01</v>
      </c>
      <c r="J307" s="36" t="s">
        <v>420</v>
      </c>
      <c r="K307" s="39">
        <v>5</v>
      </c>
      <c r="L307" s="39">
        <v>5</v>
      </c>
      <c r="M307" s="39"/>
      <c r="N307" s="39"/>
      <c r="O307" s="23" t="s">
        <v>1237</v>
      </c>
      <c r="P307" s="33"/>
      <c r="Q307" s="33">
        <v>219.75</v>
      </c>
    </row>
    <row r="308" spans="1:17">
      <c r="A308" s="12" t="s">
        <v>18</v>
      </c>
      <c r="B308" s="12" t="s">
        <v>415</v>
      </c>
      <c r="C308" s="12" t="s">
        <v>16</v>
      </c>
      <c r="D308" s="18" t="s">
        <v>16</v>
      </c>
      <c r="E308" s="15" t="str">
        <f t="shared" si="39"/>
        <v>030130202</v>
      </c>
      <c r="F308" s="16" t="s">
        <v>1222</v>
      </c>
      <c r="G308" s="16" t="str">
        <f t="shared" si="50"/>
        <v>抽屉013成型镗刀</v>
      </c>
      <c r="H308" t="str">
        <f t="shared" si="40"/>
        <v>行号02</v>
      </c>
      <c r="I308" s="16" t="str">
        <f t="shared" si="41"/>
        <v>序号02</v>
      </c>
      <c r="J308" s="36" t="s">
        <v>421</v>
      </c>
      <c r="K308" s="39">
        <v>4</v>
      </c>
      <c r="L308" s="39">
        <v>5</v>
      </c>
      <c r="M308" s="39"/>
      <c r="N308" s="39"/>
      <c r="O308" s="23" t="s">
        <v>1237</v>
      </c>
      <c r="P308" s="33"/>
      <c r="Q308" s="33"/>
    </row>
    <row r="309" spans="1:17">
      <c r="A309" s="12" t="s">
        <v>18</v>
      </c>
      <c r="B309" s="12" t="s">
        <v>415</v>
      </c>
      <c r="C309" s="12" t="s">
        <v>16</v>
      </c>
      <c r="D309" s="18" t="s">
        <v>18</v>
      </c>
      <c r="E309" s="15" t="str">
        <f t="shared" si="39"/>
        <v>030130203</v>
      </c>
      <c r="F309" s="16" t="s">
        <v>1222</v>
      </c>
      <c r="G309" s="16" t="str">
        <f t="shared" si="50"/>
        <v>抽屉013成型镗刀</v>
      </c>
      <c r="H309" t="str">
        <f t="shared" si="40"/>
        <v>行号02</v>
      </c>
      <c r="I309" s="16" t="str">
        <f t="shared" si="41"/>
        <v>序号03</v>
      </c>
      <c r="J309" s="36" t="s">
        <v>422</v>
      </c>
      <c r="K309" s="39">
        <v>5</v>
      </c>
      <c r="L309" s="39">
        <v>5</v>
      </c>
      <c r="M309" s="39"/>
      <c r="N309" s="39"/>
      <c r="O309" s="23" t="s">
        <v>1237</v>
      </c>
      <c r="P309" s="33"/>
      <c r="Q309" s="33"/>
    </row>
    <row r="310" spans="1:17">
      <c r="A310" s="12" t="s">
        <v>18</v>
      </c>
      <c r="B310" s="12" t="s">
        <v>415</v>
      </c>
      <c r="C310" s="12" t="s">
        <v>16</v>
      </c>
      <c r="D310" s="18" t="s">
        <v>20</v>
      </c>
      <c r="E310" s="15" t="str">
        <f t="shared" si="39"/>
        <v>030130204</v>
      </c>
      <c r="F310" s="16" t="s">
        <v>1222</v>
      </c>
      <c r="G310" s="16" t="str">
        <f t="shared" si="50"/>
        <v>抽屉013成型镗刀</v>
      </c>
      <c r="H310" t="str">
        <f t="shared" si="40"/>
        <v>行号02</v>
      </c>
      <c r="I310" s="16" t="str">
        <f t="shared" si="41"/>
        <v>序号04</v>
      </c>
      <c r="J310" s="36" t="s">
        <v>423</v>
      </c>
      <c r="K310" s="39">
        <v>0</v>
      </c>
      <c r="L310" s="39">
        <v>5</v>
      </c>
      <c r="M310" s="39"/>
      <c r="N310" s="39"/>
      <c r="O310" s="23" t="s">
        <v>1253</v>
      </c>
      <c r="P310" s="33"/>
      <c r="Q310" s="33"/>
    </row>
    <row r="311" spans="1:17">
      <c r="A311" s="12" t="s">
        <v>18</v>
      </c>
      <c r="B311" s="12" t="s">
        <v>415</v>
      </c>
      <c r="C311" s="12" t="s">
        <v>16</v>
      </c>
      <c r="D311" s="18" t="s">
        <v>22</v>
      </c>
      <c r="E311" s="15" t="str">
        <f t="shared" si="39"/>
        <v>030130205</v>
      </c>
      <c r="F311" s="16" t="s">
        <v>1222</v>
      </c>
      <c r="G311" s="16" t="str">
        <f t="shared" si="50"/>
        <v>抽屉013成型镗刀</v>
      </c>
      <c r="H311" t="str">
        <f t="shared" si="40"/>
        <v>行号02</v>
      </c>
      <c r="I311" s="16" t="str">
        <f t="shared" si="41"/>
        <v>序号05</v>
      </c>
      <c r="J311" s="36" t="s">
        <v>1278</v>
      </c>
      <c r="K311" s="39">
        <v>5</v>
      </c>
      <c r="L311" s="39">
        <v>5</v>
      </c>
      <c r="M311" s="39"/>
      <c r="N311" s="39"/>
      <c r="O311" s="23" t="s">
        <v>1248</v>
      </c>
      <c r="P311" s="33">
        <v>996926</v>
      </c>
      <c r="Q311" s="33"/>
    </row>
    <row r="312" spans="1:17">
      <c r="A312" s="12" t="s">
        <v>18</v>
      </c>
      <c r="B312" s="12" t="s">
        <v>415</v>
      </c>
      <c r="C312" s="12" t="s">
        <v>16</v>
      </c>
      <c r="D312" s="18" t="s">
        <v>24</v>
      </c>
      <c r="E312" s="15" t="str">
        <f t="shared" si="39"/>
        <v>030130206</v>
      </c>
      <c r="F312" s="16" t="s">
        <v>1222</v>
      </c>
      <c r="G312" s="16" t="str">
        <f t="shared" si="50"/>
        <v>抽屉013成型镗刀</v>
      </c>
      <c r="H312" t="str">
        <f t="shared" si="40"/>
        <v>行号02</v>
      </c>
      <c r="I312" s="16" t="str">
        <f t="shared" si="41"/>
        <v>序号06</v>
      </c>
      <c r="J312" s="36" t="s">
        <v>424</v>
      </c>
      <c r="K312" s="39">
        <v>0</v>
      </c>
      <c r="L312" s="39">
        <v>5</v>
      </c>
      <c r="M312" s="39"/>
      <c r="N312" s="39"/>
      <c r="O312" s="23" t="s">
        <v>1253</v>
      </c>
      <c r="P312" s="33"/>
      <c r="Q312" s="33"/>
    </row>
    <row r="313" spans="1:17">
      <c r="A313" s="12" t="s">
        <v>18</v>
      </c>
      <c r="B313" s="12" t="s">
        <v>415</v>
      </c>
      <c r="C313" s="14" t="s">
        <v>18</v>
      </c>
      <c r="D313" s="12" t="s">
        <v>14</v>
      </c>
      <c r="E313" s="15" t="str">
        <f t="shared" si="39"/>
        <v>030130301</v>
      </c>
      <c r="F313" s="16" t="s">
        <v>1222</v>
      </c>
      <c r="G313" s="16" t="str">
        <f t="shared" si="50"/>
        <v>抽屉013成型镗刀</v>
      </c>
      <c r="H313" t="str">
        <f t="shared" si="40"/>
        <v>行号03</v>
      </c>
      <c r="I313" s="16" t="str">
        <f t="shared" si="41"/>
        <v>序号01</v>
      </c>
      <c r="J313" s="36" t="s">
        <v>425</v>
      </c>
      <c r="K313" s="39">
        <v>0</v>
      </c>
      <c r="L313" s="39">
        <v>5</v>
      </c>
      <c r="M313" s="39"/>
      <c r="N313" s="39"/>
      <c r="O313" s="23" t="s">
        <v>1253</v>
      </c>
      <c r="P313" s="33">
        <v>794270</v>
      </c>
      <c r="Q313" s="33"/>
    </row>
    <row r="314" spans="1:17">
      <c r="A314" s="12" t="s">
        <v>18</v>
      </c>
      <c r="B314" s="12" t="s">
        <v>415</v>
      </c>
      <c r="C314" s="14" t="s">
        <v>18</v>
      </c>
      <c r="D314" s="12" t="s">
        <v>16</v>
      </c>
      <c r="E314" s="15" t="str">
        <f t="shared" si="39"/>
        <v>030130302</v>
      </c>
      <c r="F314" s="16" t="s">
        <v>1222</v>
      </c>
      <c r="G314" s="16" t="str">
        <f t="shared" si="50"/>
        <v>抽屉013成型镗刀</v>
      </c>
      <c r="H314" t="str">
        <f t="shared" si="40"/>
        <v>行号03</v>
      </c>
      <c r="I314" s="16" t="str">
        <f t="shared" si="41"/>
        <v>序号02</v>
      </c>
      <c r="J314" s="36" t="s">
        <v>426</v>
      </c>
      <c r="K314" s="39">
        <v>0</v>
      </c>
      <c r="L314" s="39">
        <v>5</v>
      </c>
      <c r="M314" s="39"/>
      <c r="N314" s="39"/>
      <c r="O314" s="23" t="s">
        <v>1253</v>
      </c>
      <c r="P314" s="33">
        <v>774359</v>
      </c>
      <c r="Q314" s="33"/>
    </row>
    <row r="315" spans="1:17">
      <c r="A315" s="12" t="s">
        <v>18</v>
      </c>
      <c r="B315" s="12" t="s">
        <v>415</v>
      </c>
      <c r="C315" s="14" t="s">
        <v>18</v>
      </c>
      <c r="D315" s="12" t="s">
        <v>18</v>
      </c>
      <c r="E315" s="15" t="str">
        <f t="shared" si="39"/>
        <v>030130303</v>
      </c>
      <c r="F315" s="16" t="s">
        <v>1222</v>
      </c>
      <c r="G315" s="16" t="str">
        <f t="shared" si="50"/>
        <v>抽屉013成型镗刀</v>
      </c>
      <c r="H315" t="str">
        <f t="shared" si="40"/>
        <v>行号03</v>
      </c>
      <c r="I315" s="16" t="str">
        <f t="shared" si="41"/>
        <v>序号03</v>
      </c>
      <c r="J315" s="36" t="s">
        <v>427</v>
      </c>
      <c r="K315" s="39">
        <v>0</v>
      </c>
      <c r="L315" s="39">
        <v>5</v>
      </c>
      <c r="M315" s="39"/>
      <c r="N315" s="39"/>
      <c r="O315" s="23" t="s">
        <v>1253</v>
      </c>
      <c r="P315" s="33"/>
      <c r="Q315" s="33"/>
    </row>
    <row r="316" spans="1:17">
      <c r="A316" s="12" t="s">
        <v>18</v>
      </c>
      <c r="B316" s="12" t="s">
        <v>415</v>
      </c>
      <c r="C316" s="14" t="s">
        <v>18</v>
      </c>
      <c r="D316" s="12" t="s">
        <v>20</v>
      </c>
      <c r="E316" s="15" t="str">
        <f t="shared" si="39"/>
        <v>030130304</v>
      </c>
      <c r="F316" s="16" t="s">
        <v>1222</v>
      </c>
      <c r="G316" s="16" t="str">
        <f t="shared" si="50"/>
        <v>抽屉013成型镗刀</v>
      </c>
      <c r="H316" t="str">
        <f t="shared" si="40"/>
        <v>行号03</v>
      </c>
      <c r="I316" s="16" t="str">
        <f t="shared" si="41"/>
        <v>序号04</v>
      </c>
      <c r="J316" s="36" t="s">
        <v>428</v>
      </c>
      <c r="K316" s="39">
        <v>0</v>
      </c>
      <c r="L316" s="39">
        <v>10</v>
      </c>
      <c r="M316" s="39"/>
      <c r="N316" s="39"/>
      <c r="O316" s="23" t="s">
        <v>1253</v>
      </c>
      <c r="P316" s="33"/>
      <c r="Q316" s="33"/>
    </row>
    <row r="317" spans="1:17">
      <c r="A317" s="12" t="s">
        <v>18</v>
      </c>
      <c r="B317" s="12" t="s">
        <v>415</v>
      </c>
      <c r="C317" s="14" t="s">
        <v>18</v>
      </c>
      <c r="D317" s="12" t="s">
        <v>22</v>
      </c>
      <c r="E317" s="15" t="str">
        <f t="shared" si="39"/>
        <v>030130305</v>
      </c>
      <c r="F317" s="16" t="s">
        <v>1222</v>
      </c>
      <c r="G317" s="16" t="str">
        <f t="shared" si="50"/>
        <v>抽屉013成型镗刀</v>
      </c>
      <c r="H317" t="str">
        <f t="shared" si="40"/>
        <v>行号03</v>
      </c>
      <c r="I317" s="16" t="str">
        <f t="shared" si="41"/>
        <v>序号05</v>
      </c>
      <c r="J317" s="36" t="s">
        <v>429</v>
      </c>
      <c r="K317" s="39">
        <v>0</v>
      </c>
      <c r="L317" s="39">
        <v>10</v>
      </c>
      <c r="M317" s="39"/>
      <c r="N317" s="39"/>
      <c r="O317" s="23" t="s">
        <v>1234</v>
      </c>
      <c r="P317" s="33"/>
      <c r="Q317" s="33"/>
    </row>
    <row r="318" spans="1:17">
      <c r="A318" s="12" t="s">
        <v>18</v>
      </c>
      <c r="B318" s="12" t="s">
        <v>415</v>
      </c>
      <c r="C318" s="14" t="s">
        <v>18</v>
      </c>
      <c r="D318" s="12" t="s">
        <v>24</v>
      </c>
      <c r="E318" s="15" t="str">
        <f t="shared" si="39"/>
        <v>030130306</v>
      </c>
      <c r="F318" s="16" t="s">
        <v>1222</v>
      </c>
      <c r="G318" s="16" t="str">
        <f t="shared" si="50"/>
        <v>抽屉013成型镗刀</v>
      </c>
      <c r="H318" t="str">
        <f t="shared" si="40"/>
        <v>行号03</v>
      </c>
      <c r="I318" s="16" t="str">
        <f t="shared" si="41"/>
        <v>序号06</v>
      </c>
      <c r="J318" s="36" t="s">
        <v>430</v>
      </c>
      <c r="K318" s="39">
        <v>0</v>
      </c>
      <c r="L318" s="39">
        <v>10</v>
      </c>
      <c r="M318" s="39"/>
      <c r="N318" s="39"/>
      <c r="O318" s="23" t="s">
        <v>1234</v>
      </c>
      <c r="P318" s="33"/>
      <c r="Q318" s="33"/>
    </row>
    <row r="319" spans="1:17">
      <c r="A319" s="12" t="s">
        <v>18</v>
      </c>
      <c r="B319" s="12" t="s">
        <v>415</v>
      </c>
      <c r="C319" s="14" t="s">
        <v>18</v>
      </c>
      <c r="D319" s="12" t="s">
        <v>26</v>
      </c>
      <c r="E319" s="15" t="str">
        <f t="shared" si="39"/>
        <v>030130307</v>
      </c>
      <c r="F319" s="16" t="s">
        <v>1222</v>
      </c>
      <c r="G319" s="16" t="str">
        <f t="shared" si="50"/>
        <v>抽屉013成型镗刀</v>
      </c>
      <c r="H319" t="str">
        <f t="shared" si="40"/>
        <v>行号03</v>
      </c>
      <c r="I319" s="16" t="str">
        <f t="shared" si="41"/>
        <v>序号07</v>
      </c>
      <c r="J319" s="36" t="s">
        <v>431</v>
      </c>
      <c r="K319" s="39">
        <v>0</v>
      </c>
      <c r="L319" s="39">
        <v>10</v>
      </c>
      <c r="M319" s="39"/>
      <c r="N319" s="39"/>
      <c r="O319" s="23" t="s">
        <v>1253</v>
      </c>
      <c r="P319" s="33"/>
      <c r="Q319" s="33"/>
    </row>
    <row r="320" spans="1:17">
      <c r="A320" s="12" t="s">
        <v>18</v>
      </c>
      <c r="B320" s="12" t="s">
        <v>20</v>
      </c>
      <c r="C320" s="14" t="s">
        <v>18</v>
      </c>
      <c r="D320" s="12" t="s">
        <v>24</v>
      </c>
      <c r="E320" s="15" t="str">
        <f t="shared" si="39"/>
        <v>03040306</v>
      </c>
      <c r="F320" s="16" t="s">
        <v>1222</v>
      </c>
      <c r="G320" s="16" t="str">
        <f t="shared" ref="G320:G323" si="51">"抽屉"&amp;B320</f>
        <v>抽屉04</v>
      </c>
      <c r="H320" t="str">
        <f t="shared" si="40"/>
        <v>行号03</v>
      </c>
      <c r="I320" s="16" t="str">
        <f t="shared" si="41"/>
        <v>序号06</v>
      </c>
      <c r="J320" s="50" t="s">
        <v>1198</v>
      </c>
      <c r="K320" s="39">
        <v>0</v>
      </c>
      <c r="L320" s="39">
        <v>10</v>
      </c>
      <c r="M320" s="39"/>
      <c r="N320" s="39"/>
      <c r="P320" s="33"/>
      <c r="Q320" s="33"/>
    </row>
    <row r="321" spans="1:17">
      <c r="A321" s="12" t="s">
        <v>18</v>
      </c>
      <c r="B321" s="12" t="s">
        <v>333</v>
      </c>
      <c r="C321" s="14" t="s">
        <v>18</v>
      </c>
      <c r="D321" s="12" t="s">
        <v>22</v>
      </c>
      <c r="E321" s="15" t="str">
        <f t="shared" si="39"/>
        <v>03090305</v>
      </c>
      <c r="F321" s="16" t="s">
        <v>1222</v>
      </c>
      <c r="G321" s="16" t="str">
        <f t="shared" si="51"/>
        <v>抽屉09</v>
      </c>
      <c r="H321" t="str">
        <f t="shared" si="40"/>
        <v>行号03</v>
      </c>
      <c r="I321" s="16" t="str">
        <f t="shared" si="41"/>
        <v>序号05</v>
      </c>
      <c r="J321" s="38"/>
      <c r="K321" s="41"/>
      <c r="L321" s="41"/>
      <c r="M321" s="19">
        <v>0</v>
      </c>
      <c r="N321" s="41">
        <v>0</v>
      </c>
      <c r="P321" s="33"/>
      <c r="Q321" s="33"/>
    </row>
    <row r="322" spans="1:17">
      <c r="A322" s="12" t="s">
        <v>18</v>
      </c>
      <c r="B322" s="12" t="s">
        <v>333</v>
      </c>
      <c r="C322" s="14" t="s">
        <v>18</v>
      </c>
      <c r="D322" s="12" t="s">
        <v>24</v>
      </c>
      <c r="E322" s="15" t="str">
        <f t="shared" si="39"/>
        <v>03090306</v>
      </c>
      <c r="F322" s="16" t="s">
        <v>1222</v>
      </c>
      <c r="G322" s="16" t="str">
        <f t="shared" si="51"/>
        <v>抽屉09</v>
      </c>
      <c r="H322" t="str">
        <f t="shared" si="40"/>
        <v>行号03</v>
      </c>
      <c r="I322" s="16" t="str">
        <f t="shared" si="41"/>
        <v>序号06</v>
      </c>
      <c r="J322" s="38"/>
      <c r="K322" s="41"/>
      <c r="L322" s="41"/>
      <c r="M322" s="19">
        <v>0</v>
      </c>
      <c r="N322" s="41">
        <v>0</v>
      </c>
      <c r="P322" s="33"/>
      <c r="Q322" s="33"/>
    </row>
    <row r="323" spans="1:17">
      <c r="A323" s="12" t="s">
        <v>18</v>
      </c>
      <c r="B323" s="12" t="s">
        <v>333</v>
      </c>
      <c r="C323" s="14" t="s">
        <v>18</v>
      </c>
      <c r="D323" s="12" t="s">
        <v>26</v>
      </c>
      <c r="E323" s="15" t="str">
        <f t="shared" si="39"/>
        <v>03090307</v>
      </c>
      <c r="F323" s="16" t="s">
        <v>1222</v>
      </c>
      <c r="G323" s="16" t="str">
        <f t="shared" si="51"/>
        <v>抽屉09</v>
      </c>
      <c r="H323" t="str">
        <f t="shared" si="40"/>
        <v>行号03</v>
      </c>
      <c r="I323" s="16" t="str">
        <f t="shared" si="41"/>
        <v>序号07</v>
      </c>
      <c r="J323" s="38"/>
      <c r="K323" s="41"/>
      <c r="L323" s="41"/>
      <c r="M323" s="19">
        <v>0</v>
      </c>
      <c r="N323" s="41">
        <v>0</v>
      </c>
      <c r="P323" s="33"/>
      <c r="Q323" s="33"/>
    </row>
    <row r="324" spans="1:17">
      <c r="A324" s="12" t="s">
        <v>18</v>
      </c>
      <c r="B324" s="12" t="s">
        <v>333</v>
      </c>
      <c r="C324" s="14" t="s">
        <v>18</v>
      </c>
      <c r="D324" s="12" t="s">
        <v>28</v>
      </c>
      <c r="E324" s="15" t="str">
        <f t="shared" ref="E324:E391" si="52">A324&amp;B324&amp;C324&amp;D324</f>
        <v>03090308</v>
      </c>
      <c r="F324" s="16" t="s">
        <v>1222</v>
      </c>
      <c r="G324" s="16" t="str">
        <f t="shared" ref="G324:G391" si="53">"抽屉"&amp;B324</f>
        <v>抽屉09</v>
      </c>
      <c r="H324" t="str">
        <f t="shared" ref="H324:H391" si="54">"行号"&amp;C324</f>
        <v>行号03</v>
      </c>
      <c r="I324" s="16" t="str">
        <f t="shared" ref="I324:I391" si="55">"序号"&amp;D324</f>
        <v>序号08</v>
      </c>
      <c r="J324" s="38"/>
      <c r="K324" s="41"/>
      <c r="L324" s="41"/>
      <c r="M324" s="19">
        <v>0</v>
      </c>
      <c r="N324" s="41">
        <v>0</v>
      </c>
      <c r="P324" s="33"/>
      <c r="Q324" s="33"/>
    </row>
    <row r="325" spans="1:17">
      <c r="A325" s="12" t="s">
        <v>18</v>
      </c>
      <c r="B325" s="12" t="s">
        <v>333</v>
      </c>
      <c r="C325" s="12" t="s">
        <v>20</v>
      </c>
      <c r="D325" s="18" t="s">
        <v>14</v>
      </c>
      <c r="E325" s="15" t="str">
        <f t="shared" si="52"/>
        <v>03090401</v>
      </c>
      <c r="F325" s="16" t="s">
        <v>1222</v>
      </c>
      <c r="G325" s="16" t="str">
        <f t="shared" si="53"/>
        <v>抽屉09</v>
      </c>
      <c r="H325" t="str">
        <f t="shared" si="54"/>
        <v>行号04</v>
      </c>
      <c r="I325" s="16" t="str">
        <f t="shared" si="55"/>
        <v>序号01</v>
      </c>
      <c r="J325" s="38"/>
      <c r="K325" s="41"/>
      <c r="L325" s="41"/>
      <c r="M325" s="19">
        <v>0</v>
      </c>
      <c r="N325" s="41">
        <v>0</v>
      </c>
      <c r="P325" s="33"/>
      <c r="Q325" s="33"/>
    </row>
    <row r="326" spans="1:17">
      <c r="A326" s="12" t="s">
        <v>18</v>
      </c>
      <c r="B326" s="12" t="s">
        <v>333</v>
      </c>
      <c r="C326" s="12" t="s">
        <v>20</v>
      </c>
      <c r="D326" s="18" t="s">
        <v>16</v>
      </c>
      <c r="E326" s="15" t="str">
        <f t="shared" si="52"/>
        <v>03090402</v>
      </c>
      <c r="F326" s="16" t="s">
        <v>1222</v>
      </c>
      <c r="G326" s="16" t="str">
        <f t="shared" si="53"/>
        <v>抽屉09</v>
      </c>
      <c r="H326" t="str">
        <f t="shared" si="54"/>
        <v>行号04</v>
      </c>
      <c r="I326" s="16" t="str">
        <f t="shared" si="55"/>
        <v>序号02</v>
      </c>
      <c r="J326" s="38"/>
      <c r="K326" s="41"/>
      <c r="L326" s="41"/>
      <c r="M326" s="19">
        <v>0</v>
      </c>
      <c r="N326" s="41">
        <v>0</v>
      </c>
      <c r="P326" s="33"/>
      <c r="Q326" s="33"/>
    </row>
    <row r="327" spans="1:17">
      <c r="A327" s="12" t="s">
        <v>18</v>
      </c>
      <c r="B327" s="12" t="s">
        <v>333</v>
      </c>
      <c r="C327" s="12" t="s">
        <v>20</v>
      </c>
      <c r="D327" s="18" t="s">
        <v>18</v>
      </c>
      <c r="E327" s="15" t="str">
        <f t="shared" si="52"/>
        <v>03090403</v>
      </c>
      <c r="F327" s="16" t="s">
        <v>1222</v>
      </c>
      <c r="G327" s="16" t="str">
        <f t="shared" si="53"/>
        <v>抽屉09</v>
      </c>
      <c r="H327" t="str">
        <f t="shared" si="54"/>
        <v>行号04</v>
      </c>
      <c r="I327" s="16" t="str">
        <f t="shared" si="55"/>
        <v>序号03</v>
      </c>
      <c r="J327" s="38"/>
      <c r="K327" s="41"/>
      <c r="L327" s="41"/>
      <c r="M327" s="19">
        <v>0</v>
      </c>
      <c r="N327" s="41">
        <v>0</v>
      </c>
      <c r="P327" s="33"/>
      <c r="Q327" s="33"/>
    </row>
    <row r="328" spans="1:17">
      <c r="A328" s="12" t="s">
        <v>18</v>
      </c>
      <c r="B328" s="12" t="s">
        <v>333</v>
      </c>
      <c r="C328" s="12" t="s">
        <v>20</v>
      </c>
      <c r="D328" s="18" t="s">
        <v>20</v>
      </c>
      <c r="E328" s="15" t="str">
        <f t="shared" si="52"/>
        <v>03090404</v>
      </c>
      <c r="F328" s="16" t="s">
        <v>1222</v>
      </c>
      <c r="G328" s="16" t="str">
        <f t="shared" si="53"/>
        <v>抽屉09</v>
      </c>
      <c r="H328" t="str">
        <f t="shared" si="54"/>
        <v>行号04</v>
      </c>
      <c r="I328" s="16" t="str">
        <f t="shared" si="55"/>
        <v>序号04</v>
      </c>
      <c r="J328" s="50" t="s">
        <v>1142</v>
      </c>
      <c r="K328" s="39">
        <v>10</v>
      </c>
      <c r="L328" s="39">
        <v>20</v>
      </c>
      <c r="M328" s="39"/>
      <c r="N328" s="39"/>
      <c r="O328" s="23" t="s">
        <v>1247</v>
      </c>
      <c r="P328" s="33"/>
      <c r="Q328" s="33"/>
    </row>
    <row r="329" spans="1:17">
      <c r="A329" s="12" t="s">
        <v>18</v>
      </c>
      <c r="B329" s="12" t="s">
        <v>333</v>
      </c>
      <c r="C329" s="12" t="s">
        <v>20</v>
      </c>
      <c r="D329" s="18" t="s">
        <v>26</v>
      </c>
      <c r="E329" s="15" t="str">
        <f t="shared" si="52"/>
        <v>03090407</v>
      </c>
      <c r="F329" s="16" t="s">
        <v>1222</v>
      </c>
      <c r="G329" s="16" t="str">
        <f t="shared" si="53"/>
        <v>抽屉09</v>
      </c>
      <c r="H329" t="str">
        <f t="shared" si="54"/>
        <v>行号04</v>
      </c>
      <c r="I329" s="16" t="str">
        <f t="shared" si="55"/>
        <v>序号07</v>
      </c>
      <c r="J329" s="50" t="s">
        <v>350</v>
      </c>
      <c r="K329" s="39">
        <v>20</v>
      </c>
      <c r="L329" s="39">
        <v>30</v>
      </c>
      <c r="M329" s="39"/>
      <c r="N329" s="39"/>
      <c r="O329" s="23" t="s">
        <v>1236</v>
      </c>
      <c r="P329" s="33">
        <v>996922</v>
      </c>
      <c r="Q329" s="33">
        <v>73.2</v>
      </c>
    </row>
    <row r="330" spans="1:17">
      <c r="A330" s="12" t="s">
        <v>18</v>
      </c>
      <c r="B330" s="12" t="s">
        <v>352</v>
      </c>
      <c r="C330" s="14" t="s">
        <v>18</v>
      </c>
      <c r="D330" s="12" t="s">
        <v>18</v>
      </c>
      <c r="E330" s="15" t="str">
        <f t="shared" si="52"/>
        <v>030100303</v>
      </c>
      <c r="F330" s="16" t="s">
        <v>1222</v>
      </c>
      <c r="G330" s="16" t="str">
        <f t="shared" si="53"/>
        <v>抽屉010</v>
      </c>
      <c r="H330" t="str">
        <f t="shared" si="54"/>
        <v>行号03</v>
      </c>
      <c r="I330" s="16" t="str">
        <f t="shared" si="55"/>
        <v>序号03</v>
      </c>
      <c r="J330" s="50" t="s">
        <v>370</v>
      </c>
      <c r="K330" s="39">
        <v>0</v>
      </c>
      <c r="L330" s="39">
        <v>20</v>
      </c>
      <c r="M330" s="39"/>
      <c r="N330" s="39"/>
      <c r="O330" s="23" t="s">
        <v>1248</v>
      </c>
      <c r="P330" s="33"/>
      <c r="Q330" s="33"/>
    </row>
    <row r="331" spans="1:17">
      <c r="A331" s="12" t="s">
        <v>18</v>
      </c>
      <c r="B331" s="12" t="s">
        <v>352</v>
      </c>
      <c r="C331" s="14" t="s">
        <v>18</v>
      </c>
      <c r="D331" s="12" t="s">
        <v>24</v>
      </c>
      <c r="E331" s="15" t="str">
        <f t="shared" si="52"/>
        <v>030100306</v>
      </c>
      <c r="F331" s="16" t="s">
        <v>1222</v>
      </c>
      <c r="G331" s="16" t="str">
        <f t="shared" si="53"/>
        <v>抽屉010</v>
      </c>
      <c r="H331" t="str">
        <f t="shared" si="54"/>
        <v>行号03</v>
      </c>
      <c r="I331" s="16" t="str">
        <f t="shared" si="55"/>
        <v>序号06</v>
      </c>
      <c r="J331" s="38"/>
      <c r="K331" s="41"/>
      <c r="L331" s="41"/>
      <c r="M331" s="19">
        <v>0</v>
      </c>
      <c r="N331" s="41">
        <v>0</v>
      </c>
      <c r="P331" s="33"/>
      <c r="Q331" s="33"/>
    </row>
    <row r="332" spans="1:17">
      <c r="A332" s="12" t="s">
        <v>18</v>
      </c>
      <c r="B332" s="12" t="s">
        <v>382</v>
      </c>
      <c r="C332" s="12" t="s">
        <v>20</v>
      </c>
      <c r="D332" s="18" t="s">
        <v>28</v>
      </c>
      <c r="E332" s="15" t="str">
        <f t="shared" si="52"/>
        <v>030110408</v>
      </c>
      <c r="F332" s="16" t="s">
        <v>1222</v>
      </c>
      <c r="G332" s="16" t="str">
        <f t="shared" si="53"/>
        <v>抽屉011</v>
      </c>
      <c r="H332" t="str">
        <f t="shared" si="54"/>
        <v>行号04</v>
      </c>
      <c r="I332" s="16" t="str">
        <f t="shared" si="55"/>
        <v>序号08</v>
      </c>
      <c r="J332" s="38"/>
      <c r="K332" s="41"/>
      <c r="L332" s="41"/>
      <c r="M332" s="19">
        <v>0</v>
      </c>
      <c r="N332" s="41">
        <v>0</v>
      </c>
      <c r="P332" s="33"/>
      <c r="Q332" s="33"/>
    </row>
    <row r="333" spans="1:17">
      <c r="A333" s="12" t="s">
        <v>18</v>
      </c>
      <c r="B333" s="12" t="s">
        <v>398</v>
      </c>
      <c r="C333" s="12" t="s">
        <v>20</v>
      </c>
      <c r="D333" s="18" t="s">
        <v>28</v>
      </c>
      <c r="E333" s="15" t="str">
        <f t="shared" si="52"/>
        <v>030120408</v>
      </c>
      <c r="F333" s="16" t="s">
        <v>1222</v>
      </c>
      <c r="G333" s="16" t="str">
        <f t="shared" si="53"/>
        <v>抽屉012</v>
      </c>
      <c r="H333" t="str">
        <f t="shared" si="54"/>
        <v>行号04</v>
      </c>
      <c r="I333" s="16" t="str">
        <f t="shared" si="55"/>
        <v>序号08</v>
      </c>
      <c r="J333" s="38"/>
      <c r="K333" s="41"/>
      <c r="L333" s="41"/>
      <c r="M333" s="19">
        <v>0</v>
      </c>
      <c r="N333" s="41">
        <v>0</v>
      </c>
      <c r="P333" s="33"/>
      <c r="Q333" s="33"/>
    </row>
    <row r="334" spans="1:17">
      <c r="A334" s="12" t="s">
        <v>18</v>
      </c>
      <c r="B334" s="12" t="s">
        <v>415</v>
      </c>
      <c r="C334" s="14" t="s">
        <v>14</v>
      </c>
      <c r="D334" s="12" t="s">
        <v>22</v>
      </c>
      <c r="E334" s="15" t="str">
        <f t="shared" si="52"/>
        <v>030130105</v>
      </c>
      <c r="F334" s="16" t="s">
        <v>1222</v>
      </c>
      <c r="G334" s="16" t="str">
        <f t="shared" si="53"/>
        <v>抽屉013</v>
      </c>
      <c r="H334" t="str">
        <f t="shared" si="54"/>
        <v>行号01</v>
      </c>
      <c r="I334" s="16" t="str">
        <f t="shared" si="55"/>
        <v>序号05</v>
      </c>
      <c r="J334" s="38"/>
      <c r="K334" s="41"/>
      <c r="L334" s="41"/>
      <c r="M334" s="19">
        <v>0</v>
      </c>
      <c r="N334" s="41">
        <v>0</v>
      </c>
      <c r="P334" s="33"/>
      <c r="Q334" s="33"/>
    </row>
    <row r="335" spans="1:17">
      <c r="A335" s="12" t="s">
        <v>18</v>
      </c>
      <c r="B335" s="12" t="s">
        <v>415</v>
      </c>
      <c r="C335" s="14" t="s">
        <v>14</v>
      </c>
      <c r="D335" s="12" t="s">
        <v>24</v>
      </c>
      <c r="E335" s="15" t="str">
        <f t="shared" si="52"/>
        <v>030130106</v>
      </c>
      <c r="F335" s="16" t="s">
        <v>1222</v>
      </c>
      <c r="G335" s="16" t="str">
        <f t="shared" si="53"/>
        <v>抽屉013</v>
      </c>
      <c r="H335" t="str">
        <f t="shared" si="54"/>
        <v>行号01</v>
      </c>
      <c r="I335" s="16" t="str">
        <f t="shared" si="55"/>
        <v>序号06</v>
      </c>
      <c r="J335" s="38"/>
      <c r="K335" s="41"/>
      <c r="L335" s="41"/>
      <c r="M335" s="19">
        <v>0</v>
      </c>
      <c r="N335" s="41">
        <v>0</v>
      </c>
      <c r="P335" s="33"/>
      <c r="Q335" s="33"/>
    </row>
    <row r="336" spans="1:17">
      <c r="A336" s="12" t="s">
        <v>18</v>
      </c>
      <c r="B336" s="12" t="s">
        <v>415</v>
      </c>
      <c r="C336" s="14" t="s">
        <v>14</v>
      </c>
      <c r="D336" s="12" t="s">
        <v>26</v>
      </c>
      <c r="E336" s="15" t="str">
        <f t="shared" si="52"/>
        <v>030130107</v>
      </c>
      <c r="F336" s="16" t="s">
        <v>1222</v>
      </c>
      <c r="G336" s="16" t="str">
        <f t="shared" si="53"/>
        <v>抽屉013</v>
      </c>
      <c r="H336" t="str">
        <f t="shared" si="54"/>
        <v>行号01</v>
      </c>
      <c r="I336" s="16" t="str">
        <f t="shared" si="55"/>
        <v>序号07</v>
      </c>
      <c r="J336" s="38"/>
      <c r="K336" s="41"/>
      <c r="L336" s="41"/>
      <c r="M336" s="19">
        <v>0</v>
      </c>
      <c r="N336" s="41">
        <v>0</v>
      </c>
      <c r="P336" s="33"/>
      <c r="Q336" s="33"/>
    </row>
    <row r="337" spans="1:17">
      <c r="A337" s="12" t="s">
        <v>18</v>
      </c>
      <c r="B337" s="12" t="s">
        <v>415</v>
      </c>
      <c r="C337" s="14" t="s">
        <v>14</v>
      </c>
      <c r="D337" s="12" t="s">
        <v>28</v>
      </c>
      <c r="E337" s="15" t="str">
        <f t="shared" si="52"/>
        <v>030130108</v>
      </c>
      <c r="F337" s="16" t="s">
        <v>1222</v>
      </c>
      <c r="G337" s="16" t="str">
        <f t="shared" si="53"/>
        <v>抽屉013</v>
      </c>
      <c r="H337" t="str">
        <f t="shared" si="54"/>
        <v>行号01</v>
      </c>
      <c r="I337" s="16" t="str">
        <f t="shared" si="55"/>
        <v>序号08</v>
      </c>
      <c r="J337" s="38"/>
      <c r="K337" s="41"/>
      <c r="L337" s="41"/>
      <c r="M337" s="19">
        <v>0</v>
      </c>
      <c r="N337" s="41">
        <v>0</v>
      </c>
      <c r="P337" s="33"/>
      <c r="Q337" s="33"/>
    </row>
    <row r="338" spans="1:17">
      <c r="A338" s="12" t="s">
        <v>18</v>
      </c>
      <c r="B338" s="12" t="s">
        <v>415</v>
      </c>
      <c r="C338" s="12" t="s">
        <v>16</v>
      </c>
      <c r="D338" s="18" t="s">
        <v>26</v>
      </c>
      <c r="E338" s="15" t="str">
        <f t="shared" si="52"/>
        <v>030130207</v>
      </c>
      <c r="F338" s="16" t="s">
        <v>1222</v>
      </c>
      <c r="G338" s="16" t="str">
        <f t="shared" si="53"/>
        <v>抽屉013</v>
      </c>
      <c r="H338" t="str">
        <f t="shared" si="54"/>
        <v>行号02</v>
      </c>
      <c r="I338" s="16" t="str">
        <f t="shared" si="55"/>
        <v>序号07</v>
      </c>
      <c r="J338" s="38"/>
      <c r="K338" s="41"/>
      <c r="L338" s="41"/>
      <c r="M338" s="19">
        <v>0</v>
      </c>
      <c r="N338" s="41">
        <v>0</v>
      </c>
      <c r="P338" s="33"/>
      <c r="Q338" s="33"/>
    </row>
    <row r="339" spans="1:17">
      <c r="A339" s="12" t="s">
        <v>18</v>
      </c>
      <c r="B339" s="12" t="s">
        <v>415</v>
      </c>
      <c r="C339" s="12" t="s">
        <v>16</v>
      </c>
      <c r="D339" s="18" t="s">
        <v>28</v>
      </c>
      <c r="E339" s="15" t="str">
        <f t="shared" si="52"/>
        <v>030130208</v>
      </c>
      <c r="F339" s="16" t="s">
        <v>1222</v>
      </c>
      <c r="G339" s="16" t="str">
        <f t="shared" si="53"/>
        <v>抽屉013</v>
      </c>
      <c r="H339" t="str">
        <f t="shared" si="54"/>
        <v>行号02</v>
      </c>
      <c r="I339" s="16" t="str">
        <f t="shared" si="55"/>
        <v>序号08</v>
      </c>
      <c r="J339" s="38"/>
      <c r="K339" s="41"/>
      <c r="L339" s="41"/>
      <c r="M339" s="19">
        <v>0</v>
      </c>
      <c r="N339" s="41">
        <v>0</v>
      </c>
      <c r="P339" s="33"/>
      <c r="Q339" s="33"/>
    </row>
    <row r="340" spans="1:17">
      <c r="A340" s="12" t="s">
        <v>18</v>
      </c>
      <c r="B340" s="12" t="s">
        <v>415</v>
      </c>
      <c r="C340" s="14" t="s">
        <v>18</v>
      </c>
      <c r="D340" s="12" t="s">
        <v>28</v>
      </c>
      <c r="E340" s="15" t="str">
        <f t="shared" si="52"/>
        <v>030130308</v>
      </c>
      <c r="F340" s="16" t="s">
        <v>1222</v>
      </c>
      <c r="G340" s="16" t="str">
        <f t="shared" si="53"/>
        <v>抽屉013</v>
      </c>
      <c r="H340" t="str">
        <f t="shared" si="54"/>
        <v>行号03</v>
      </c>
      <c r="I340" s="16" t="str">
        <f t="shared" si="55"/>
        <v>序号08</v>
      </c>
      <c r="J340" s="38"/>
      <c r="K340" s="41"/>
      <c r="L340" s="41"/>
      <c r="M340" s="19">
        <v>0</v>
      </c>
      <c r="N340" s="41">
        <v>0</v>
      </c>
      <c r="P340" s="33"/>
      <c r="Q340" s="33"/>
    </row>
    <row r="341" spans="1:17">
      <c r="A341" s="12" t="s">
        <v>18</v>
      </c>
      <c r="B341" s="12" t="s">
        <v>415</v>
      </c>
      <c r="C341" s="12" t="s">
        <v>20</v>
      </c>
      <c r="D341" s="18" t="s">
        <v>14</v>
      </c>
      <c r="E341" s="15" t="str">
        <f t="shared" ref="E341:E348" si="56">A341&amp;B341&amp;C341&amp;D341</f>
        <v>030130401</v>
      </c>
      <c r="F341" s="16" t="s">
        <v>1222</v>
      </c>
      <c r="G341" s="16" t="str">
        <f>"抽屉"&amp;B341&amp;"成型镗刀"</f>
        <v>抽屉013成型镗刀</v>
      </c>
      <c r="H341" t="str">
        <f>"行号"&amp;C341</f>
        <v>行号04</v>
      </c>
      <c r="I341" s="16" t="str">
        <f>"序号"&amp;D341</f>
        <v>序号01</v>
      </c>
      <c r="J341" s="36" t="s">
        <v>432</v>
      </c>
      <c r="K341" s="39">
        <v>5</v>
      </c>
      <c r="L341" s="39">
        <v>5</v>
      </c>
      <c r="M341" s="39"/>
      <c r="N341" s="39"/>
      <c r="O341" s="23" t="s">
        <v>1237</v>
      </c>
      <c r="P341" s="33">
        <v>969389</v>
      </c>
      <c r="Q341" s="33">
        <v>279.75</v>
      </c>
    </row>
    <row r="342" spans="1:17">
      <c r="A342" s="12" t="s">
        <v>18</v>
      </c>
      <c r="B342" s="12" t="s">
        <v>415</v>
      </c>
      <c r="C342" s="12" t="s">
        <v>20</v>
      </c>
      <c r="D342" s="18" t="s">
        <v>16</v>
      </c>
      <c r="E342" s="15" t="str">
        <f t="shared" si="56"/>
        <v>030130402</v>
      </c>
      <c r="F342" s="16" t="s">
        <v>1222</v>
      </c>
      <c r="G342" s="16" t="str">
        <f>"抽屉"&amp;B342&amp;"成型镗刀"</f>
        <v>抽屉013成型镗刀</v>
      </c>
      <c r="H342" t="str">
        <f>"行号"&amp;C342</f>
        <v>行号04</v>
      </c>
      <c r="I342" s="16" t="str">
        <f>"序号"&amp;D342</f>
        <v>序号02</v>
      </c>
      <c r="J342" s="36" t="s">
        <v>433</v>
      </c>
      <c r="K342" s="39">
        <v>3</v>
      </c>
      <c r="L342" s="39">
        <v>3</v>
      </c>
      <c r="M342" s="39"/>
      <c r="N342" s="39"/>
      <c r="O342" s="23" t="s">
        <v>1235</v>
      </c>
      <c r="P342" s="33"/>
      <c r="Q342" s="33"/>
    </row>
    <row r="343" spans="1:17">
      <c r="A343" s="12" t="s">
        <v>18</v>
      </c>
      <c r="B343" s="12" t="s">
        <v>415</v>
      </c>
      <c r="C343" s="12" t="s">
        <v>20</v>
      </c>
      <c r="D343" s="18" t="s">
        <v>18</v>
      </c>
      <c r="E343" s="15" t="str">
        <f t="shared" si="56"/>
        <v>030130403</v>
      </c>
      <c r="F343" s="16" t="s">
        <v>1222</v>
      </c>
      <c r="G343" s="16" t="str">
        <f t="shared" ref="G343" si="57">"抽屉"&amp;B343&amp;"成型镗刀"</f>
        <v>抽屉013成型镗刀</v>
      </c>
      <c r="H343" t="str">
        <f t="shared" ref="H343" si="58">"行号"&amp;C343</f>
        <v>行号04</v>
      </c>
      <c r="I343" s="16" t="str">
        <f t="shared" ref="I343" si="59">"序号"&amp;D343</f>
        <v>序号03</v>
      </c>
      <c r="J343" s="36" t="s">
        <v>1311</v>
      </c>
      <c r="K343" s="39">
        <v>5</v>
      </c>
      <c r="L343" s="39">
        <v>5</v>
      </c>
      <c r="M343" s="39"/>
      <c r="N343" s="39"/>
      <c r="O343" s="23" t="s">
        <v>1248</v>
      </c>
      <c r="P343" s="33"/>
      <c r="Q343" s="33"/>
    </row>
    <row r="344" spans="1:17">
      <c r="A344" s="12" t="s">
        <v>18</v>
      </c>
      <c r="B344" s="12" t="s">
        <v>415</v>
      </c>
      <c r="C344" s="12" t="s">
        <v>20</v>
      </c>
      <c r="D344" s="18" t="s">
        <v>20</v>
      </c>
      <c r="E344" s="15" t="str">
        <f t="shared" si="56"/>
        <v>030130404</v>
      </c>
      <c r="F344" s="16" t="s">
        <v>1222</v>
      </c>
      <c r="G344" s="16" t="str">
        <f>"抽屉"&amp;B344</f>
        <v>抽屉013</v>
      </c>
      <c r="H344" t="str">
        <f>"行号"&amp;C344</f>
        <v>行号04</v>
      </c>
      <c r="I344" s="16" t="str">
        <f>"序号"&amp;D344</f>
        <v>序号04</v>
      </c>
      <c r="J344" s="36" t="s">
        <v>1335</v>
      </c>
      <c r="K344" s="41">
        <v>3</v>
      </c>
      <c r="L344" s="41">
        <v>3</v>
      </c>
      <c r="M344" s="19">
        <v>0</v>
      </c>
      <c r="N344" s="41">
        <v>0</v>
      </c>
      <c r="O344" s="23" t="s">
        <v>1248</v>
      </c>
      <c r="P344" s="33"/>
      <c r="Q344" s="33"/>
    </row>
    <row r="345" spans="1:17">
      <c r="A345" s="12" t="s">
        <v>18</v>
      </c>
      <c r="B345" s="12" t="s">
        <v>415</v>
      </c>
      <c r="C345" s="12" t="s">
        <v>20</v>
      </c>
      <c r="D345" s="18" t="s">
        <v>22</v>
      </c>
      <c r="E345" s="15" t="str">
        <f t="shared" si="56"/>
        <v>030130405</v>
      </c>
      <c r="F345" s="16" t="s">
        <v>1222</v>
      </c>
      <c r="G345" s="16" t="str">
        <f>"抽屉"&amp;B345</f>
        <v>抽屉013</v>
      </c>
      <c r="H345" t="str">
        <f>"行号"&amp;C345</f>
        <v>行号04</v>
      </c>
      <c r="I345" s="16" t="str">
        <f>"序号"&amp;D345</f>
        <v>序号05</v>
      </c>
      <c r="J345" s="38"/>
      <c r="K345" s="41"/>
      <c r="L345" s="41"/>
      <c r="M345" s="19">
        <v>0</v>
      </c>
      <c r="N345" s="41">
        <v>0</v>
      </c>
      <c r="P345" s="33"/>
      <c r="Q345" s="33"/>
    </row>
    <row r="346" spans="1:17">
      <c r="A346" s="12" t="s">
        <v>18</v>
      </c>
      <c r="B346" s="12" t="s">
        <v>415</v>
      </c>
      <c r="C346" s="12" t="s">
        <v>20</v>
      </c>
      <c r="D346" s="18" t="s">
        <v>24</v>
      </c>
      <c r="E346" s="15" t="str">
        <f t="shared" si="56"/>
        <v>030130406</v>
      </c>
      <c r="F346" s="16" t="s">
        <v>1222</v>
      </c>
      <c r="G346" s="16" t="str">
        <f>"抽屉"&amp;B346</f>
        <v>抽屉013</v>
      </c>
      <c r="H346" t="str">
        <f>"行号"&amp;C346</f>
        <v>行号04</v>
      </c>
      <c r="I346" s="16" t="str">
        <f>"序号"&amp;D346</f>
        <v>序号06</v>
      </c>
      <c r="J346" s="36" t="s">
        <v>1334</v>
      </c>
      <c r="K346" s="51">
        <v>3</v>
      </c>
      <c r="L346" s="51">
        <v>5</v>
      </c>
      <c r="M346" s="20"/>
      <c r="N346" s="51"/>
      <c r="P346" s="33"/>
      <c r="Q346" s="33"/>
    </row>
    <row r="347" spans="1:17">
      <c r="A347" s="12" t="s">
        <v>18</v>
      </c>
      <c r="B347" s="12" t="s">
        <v>415</v>
      </c>
      <c r="C347" s="12" t="s">
        <v>20</v>
      </c>
      <c r="D347" s="18" t="s">
        <v>26</v>
      </c>
      <c r="E347" s="15" t="str">
        <f t="shared" si="56"/>
        <v>030130407</v>
      </c>
      <c r="F347" s="16" t="s">
        <v>1222</v>
      </c>
      <c r="G347" s="16" t="str">
        <f>"抽屉"&amp;B347&amp;"成型镗刀"</f>
        <v>抽屉013成型镗刀</v>
      </c>
      <c r="H347" t="str">
        <f>"行号"&amp;C347</f>
        <v>行号04</v>
      </c>
      <c r="I347" s="16" t="str">
        <f>"序号"&amp;D347</f>
        <v>序号07</v>
      </c>
      <c r="J347" s="36" t="s">
        <v>434</v>
      </c>
      <c r="K347" s="39">
        <v>3</v>
      </c>
      <c r="L347" s="39">
        <v>3</v>
      </c>
      <c r="M347" s="39"/>
      <c r="N347" s="39"/>
      <c r="O347" s="23" t="s">
        <v>1248</v>
      </c>
      <c r="P347" s="33"/>
      <c r="Q347" s="33"/>
    </row>
    <row r="348" spans="1:17">
      <c r="A348" s="12" t="s">
        <v>18</v>
      </c>
      <c r="B348" s="12" t="s">
        <v>415</v>
      </c>
      <c r="C348" s="12" t="s">
        <v>20</v>
      </c>
      <c r="D348" s="18" t="s">
        <v>28</v>
      </c>
      <c r="E348" s="15" t="str">
        <f t="shared" si="56"/>
        <v>030130408</v>
      </c>
      <c r="F348" s="16" t="s">
        <v>1222</v>
      </c>
      <c r="G348" s="16" t="str">
        <f>"抽屉"&amp;B348&amp;"成型镗刀"</f>
        <v>抽屉013成型镗刀</v>
      </c>
      <c r="H348" t="str">
        <f>"行号"&amp;C348</f>
        <v>行号04</v>
      </c>
      <c r="I348" s="16" t="str">
        <f>"序号"&amp;D348</f>
        <v>序号08</v>
      </c>
      <c r="J348" s="36" t="s">
        <v>435</v>
      </c>
      <c r="K348" s="39">
        <v>1</v>
      </c>
      <c r="L348" s="39">
        <v>3</v>
      </c>
      <c r="M348" s="39"/>
      <c r="N348" s="39"/>
      <c r="P348" s="33"/>
      <c r="Q348" s="33"/>
    </row>
    <row r="349" spans="1:17">
      <c r="A349" s="12" t="s">
        <v>18</v>
      </c>
      <c r="B349" s="13" t="s">
        <v>14</v>
      </c>
      <c r="C349" s="12" t="s">
        <v>16</v>
      </c>
      <c r="D349" s="18" t="s">
        <v>14</v>
      </c>
      <c r="E349" s="15" t="str">
        <f t="shared" si="52"/>
        <v>03010201</v>
      </c>
      <c r="F349" s="16" t="s">
        <v>1222</v>
      </c>
      <c r="G349" s="16" t="str">
        <f t="shared" si="53"/>
        <v>抽屉01</v>
      </c>
      <c r="H349" t="str">
        <f t="shared" si="54"/>
        <v>行号02</v>
      </c>
      <c r="I349" s="16" t="str">
        <f t="shared" si="55"/>
        <v>序号01</v>
      </c>
      <c r="J349" s="38" t="s">
        <v>1150</v>
      </c>
      <c r="K349" s="39"/>
      <c r="L349" s="39"/>
      <c r="M349" s="33"/>
      <c r="N349" s="33"/>
      <c r="O349" s="23" t="s">
        <v>1235</v>
      </c>
      <c r="P349" s="33"/>
      <c r="Q349" s="33"/>
    </row>
    <row r="350" spans="1:17">
      <c r="A350" s="12" t="s">
        <v>18</v>
      </c>
      <c r="B350" s="13" t="s">
        <v>14</v>
      </c>
      <c r="C350" s="12" t="s">
        <v>16</v>
      </c>
      <c r="D350" s="18" t="s">
        <v>16</v>
      </c>
      <c r="E350" s="15" t="str">
        <f t="shared" si="52"/>
        <v>03010202</v>
      </c>
      <c r="F350" s="16" t="s">
        <v>1222</v>
      </c>
      <c r="G350" s="16" t="str">
        <f t="shared" si="53"/>
        <v>抽屉01</v>
      </c>
      <c r="H350" t="str">
        <f t="shared" si="54"/>
        <v>行号02</v>
      </c>
      <c r="I350" s="16" t="str">
        <f t="shared" si="55"/>
        <v>序号02</v>
      </c>
      <c r="J350" s="38" t="s">
        <v>1151</v>
      </c>
      <c r="K350" s="39"/>
      <c r="L350" s="39"/>
      <c r="M350" s="33"/>
      <c r="N350" s="33"/>
      <c r="O350" s="23" t="s">
        <v>1235</v>
      </c>
      <c r="P350" s="33"/>
      <c r="Q350" s="33"/>
    </row>
    <row r="351" spans="1:17">
      <c r="A351" s="12" t="s">
        <v>18</v>
      </c>
      <c r="B351" s="12" t="s">
        <v>16</v>
      </c>
      <c r="C351" s="14" t="s">
        <v>14</v>
      </c>
      <c r="D351" s="12" t="s">
        <v>24</v>
      </c>
      <c r="E351" s="15" t="str">
        <f t="shared" si="52"/>
        <v>03020106</v>
      </c>
      <c r="F351" s="16" t="s">
        <v>1222</v>
      </c>
      <c r="G351" s="16" t="str">
        <f t="shared" si="53"/>
        <v>抽屉02</v>
      </c>
      <c r="H351" t="str">
        <f t="shared" si="54"/>
        <v>行号01</v>
      </c>
      <c r="I351" s="16" t="str">
        <f t="shared" si="55"/>
        <v>序号06</v>
      </c>
      <c r="J351" s="38" t="s">
        <v>1156</v>
      </c>
      <c r="K351" s="39"/>
      <c r="L351" s="39"/>
      <c r="M351" s="33"/>
      <c r="N351" s="33"/>
      <c r="O351" s="23" t="s">
        <v>1237</v>
      </c>
      <c r="P351" s="33"/>
      <c r="Q351" s="33"/>
    </row>
    <row r="352" spans="1:17">
      <c r="A352" s="12" t="s">
        <v>18</v>
      </c>
      <c r="B352" s="12" t="s">
        <v>16</v>
      </c>
      <c r="C352" s="12" t="s">
        <v>16</v>
      </c>
      <c r="D352" s="18" t="s">
        <v>16</v>
      </c>
      <c r="E352" s="15" t="str">
        <f t="shared" si="52"/>
        <v>03020202</v>
      </c>
      <c r="F352" s="16" t="s">
        <v>1222</v>
      </c>
      <c r="G352" s="16" t="str">
        <f t="shared" si="53"/>
        <v>抽屉02</v>
      </c>
      <c r="H352" t="str">
        <f t="shared" si="54"/>
        <v>行号02</v>
      </c>
      <c r="I352" s="16" t="str">
        <f t="shared" si="55"/>
        <v>序号02</v>
      </c>
      <c r="J352" s="38" t="s">
        <v>1158</v>
      </c>
      <c r="K352" s="39"/>
      <c r="L352" s="39"/>
      <c r="M352" s="33"/>
      <c r="N352" s="33"/>
      <c r="O352" s="23" t="s">
        <v>1237</v>
      </c>
      <c r="P352" s="33"/>
      <c r="Q352" s="33"/>
    </row>
    <row r="353" spans="1:17">
      <c r="A353" s="12" t="s">
        <v>18</v>
      </c>
      <c r="B353" s="12" t="s">
        <v>16</v>
      </c>
      <c r="C353" s="12" t="s">
        <v>16</v>
      </c>
      <c r="D353" s="18" t="s">
        <v>18</v>
      </c>
      <c r="E353" s="15" t="str">
        <f t="shared" si="52"/>
        <v>03020203</v>
      </c>
      <c r="F353" s="16" t="s">
        <v>1222</v>
      </c>
      <c r="G353" s="16" t="str">
        <f t="shared" si="53"/>
        <v>抽屉02</v>
      </c>
      <c r="H353" t="str">
        <f t="shared" si="54"/>
        <v>行号02</v>
      </c>
      <c r="I353" s="16" t="str">
        <f t="shared" si="55"/>
        <v>序号03</v>
      </c>
      <c r="J353" s="38"/>
      <c r="K353" s="39"/>
      <c r="L353" s="39"/>
      <c r="M353" s="33"/>
      <c r="N353" s="33"/>
      <c r="O353" s="23" t="s">
        <v>1236</v>
      </c>
      <c r="P353" s="33"/>
      <c r="Q353" s="33"/>
    </row>
    <row r="354" spans="1:17">
      <c r="A354" s="12" t="s">
        <v>18</v>
      </c>
      <c r="B354" s="12" t="s">
        <v>16</v>
      </c>
      <c r="C354" s="12" t="s">
        <v>16</v>
      </c>
      <c r="D354" s="18" t="s">
        <v>26</v>
      </c>
      <c r="E354" s="15" t="str">
        <f t="shared" si="52"/>
        <v>03020207</v>
      </c>
      <c r="F354" s="16" t="s">
        <v>1222</v>
      </c>
      <c r="G354" s="16" t="str">
        <f t="shared" si="53"/>
        <v>抽屉02</v>
      </c>
      <c r="H354" t="str">
        <f t="shared" si="54"/>
        <v>行号02</v>
      </c>
      <c r="I354" s="16" t="str">
        <f t="shared" si="55"/>
        <v>序号07</v>
      </c>
      <c r="J354" s="38"/>
      <c r="K354" s="41"/>
      <c r="L354" s="41"/>
      <c r="M354" s="42">
        <v>0</v>
      </c>
      <c r="N354" s="42">
        <v>0</v>
      </c>
      <c r="P354" s="33"/>
      <c r="Q354" s="33"/>
    </row>
    <row r="355" spans="1:17">
      <c r="A355" s="12" t="s">
        <v>18</v>
      </c>
      <c r="B355" s="12" t="s">
        <v>16</v>
      </c>
      <c r="C355" s="14" t="s">
        <v>18</v>
      </c>
      <c r="D355" s="12" t="s">
        <v>14</v>
      </c>
      <c r="E355" s="15" t="str">
        <f t="shared" si="52"/>
        <v>03020301</v>
      </c>
      <c r="F355" s="16" t="s">
        <v>1222</v>
      </c>
      <c r="G355" s="16" t="str">
        <f t="shared" si="53"/>
        <v>抽屉02</v>
      </c>
      <c r="H355" t="str">
        <f t="shared" si="54"/>
        <v>行号03</v>
      </c>
      <c r="I355" s="16" t="str">
        <f t="shared" si="55"/>
        <v>序号01</v>
      </c>
      <c r="J355" s="38" t="s">
        <v>1159</v>
      </c>
      <c r="K355" s="39"/>
      <c r="L355" s="39"/>
      <c r="M355" s="33"/>
      <c r="N355" s="33"/>
      <c r="O355" s="23" t="s">
        <v>1237</v>
      </c>
      <c r="P355" s="33">
        <v>969432</v>
      </c>
      <c r="Q355" s="33"/>
    </row>
    <row r="356" spans="1:17">
      <c r="A356" s="12" t="s">
        <v>18</v>
      </c>
      <c r="B356" s="12" t="s">
        <v>16</v>
      </c>
      <c r="C356" s="14" t="s">
        <v>18</v>
      </c>
      <c r="D356" s="12" t="s">
        <v>24</v>
      </c>
      <c r="E356" s="15" t="str">
        <f t="shared" si="52"/>
        <v>03020306</v>
      </c>
      <c r="F356" s="16" t="s">
        <v>1222</v>
      </c>
      <c r="G356" s="16" t="str">
        <f t="shared" si="53"/>
        <v>抽屉02</v>
      </c>
      <c r="H356" t="str">
        <f t="shared" si="54"/>
        <v>行号03</v>
      </c>
      <c r="I356" s="16" t="str">
        <f t="shared" si="55"/>
        <v>序号06</v>
      </c>
      <c r="J356" s="38" t="s">
        <v>1163</v>
      </c>
      <c r="K356" s="39"/>
      <c r="L356" s="39"/>
      <c r="M356" s="33"/>
      <c r="N356" s="33"/>
      <c r="O356" s="23" t="s">
        <v>1237</v>
      </c>
      <c r="P356" s="33"/>
      <c r="Q356" s="33"/>
    </row>
    <row r="357" spans="1:17">
      <c r="A357" s="12" t="s">
        <v>18</v>
      </c>
      <c r="B357" s="12" t="s">
        <v>16</v>
      </c>
      <c r="C357" s="14" t="s">
        <v>18</v>
      </c>
      <c r="D357" s="12" t="s">
        <v>26</v>
      </c>
      <c r="E357" s="15" t="str">
        <f t="shared" si="52"/>
        <v>03020307</v>
      </c>
      <c r="F357" s="16" t="s">
        <v>1222</v>
      </c>
      <c r="G357" s="16" t="str">
        <f t="shared" si="53"/>
        <v>抽屉02</v>
      </c>
      <c r="H357" t="str">
        <f t="shared" si="54"/>
        <v>行号03</v>
      </c>
      <c r="I357" s="16" t="str">
        <f t="shared" si="55"/>
        <v>序号07</v>
      </c>
      <c r="J357" s="38"/>
      <c r="K357" s="39"/>
      <c r="L357" s="39"/>
      <c r="M357" s="33"/>
      <c r="N357" s="33"/>
      <c r="O357" s="23" t="s">
        <v>1254</v>
      </c>
      <c r="P357" s="33"/>
      <c r="Q357" s="33"/>
    </row>
    <row r="358" spans="1:17">
      <c r="A358" s="12" t="s">
        <v>18</v>
      </c>
      <c r="B358" s="13" t="s">
        <v>18</v>
      </c>
      <c r="C358" s="14" t="s">
        <v>18</v>
      </c>
      <c r="D358" s="12" t="s">
        <v>20</v>
      </c>
      <c r="E358" s="15" t="str">
        <f t="shared" si="52"/>
        <v>03030304</v>
      </c>
      <c r="F358" s="16" t="s">
        <v>1222</v>
      </c>
      <c r="G358" s="16" t="str">
        <f t="shared" si="53"/>
        <v>抽屉03</v>
      </c>
      <c r="H358" t="str">
        <f t="shared" si="54"/>
        <v>行号03</v>
      </c>
      <c r="I358" s="16" t="str">
        <f t="shared" si="55"/>
        <v>序号04</v>
      </c>
      <c r="J358" s="38" t="s">
        <v>1171</v>
      </c>
      <c r="K358" s="39"/>
      <c r="L358" s="39"/>
      <c r="M358" s="33"/>
      <c r="N358" s="33"/>
      <c r="O358" s="23" t="s">
        <v>1235</v>
      </c>
      <c r="P358" s="33"/>
      <c r="Q358" s="33"/>
    </row>
    <row r="359" spans="1:17">
      <c r="A359" s="12" t="s">
        <v>18</v>
      </c>
      <c r="B359" s="13" t="s">
        <v>18</v>
      </c>
      <c r="C359" s="14" t="s">
        <v>18</v>
      </c>
      <c r="D359" s="12" t="s">
        <v>22</v>
      </c>
      <c r="E359" s="15" t="str">
        <f t="shared" si="52"/>
        <v>03030305</v>
      </c>
      <c r="F359" s="16" t="s">
        <v>1222</v>
      </c>
      <c r="G359" s="16" t="str">
        <f t="shared" si="53"/>
        <v>抽屉03</v>
      </c>
      <c r="H359" t="str">
        <f t="shared" si="54"/>
        <v>行号03</v>
      </c>
      <c r="I359" s="16" t="str">
        <f t="shared" si="55"/>
        <v>序号05</v>
      </c>
      <c r="J359" s="38" t="s">
        <v>1172</v>
      </c>
      <c r="K359" s="39"/>
      <c r="L359" s="39"/>
      <c r="M359" s="33"/>
      <c r="N359" s="33"/>
      <c r="O359" s="23" t="s">
        <v>1235</v>
      </c>
      <c r="P359" s="33"/>
      <c r="Q359" s="33"/>
    </row>
    <row r="360" spans="1:17">
      <c r="A360" s="12" t="s">
        <v>18</v>
      </c>
      <c r="B360" s="12" t="s">
        <v>20</v>
      </c>
      <c r="C360" s="14" t="s">
        <v>14</v>
      </c>
      <c r="D360" s="12" t="s">
        <v>14</v>
      </c>
      <c r="E360" s="15" t="str">
        <f t="shared" si="52"/>
        <v>03040101</v>
      </c>
      <c r="F360" s="16" t="s">
        <v>1222</v>
      </c>
      <c r="G360" s="16" t="str">
        <f t="shared" si="53"/>
        <v>抽屉04</v>
      </c>
      <c r="H360" t="str">
        <f t="shared" si="54"/>
        <v>行号01</v>
      </c>
      <c r="I360" s="16" t="str">
        <f t="shared" si="55"/>
        <v>序号01</v>
      </c>
      <c r="J360" s="38" t="s">
        <v>1180</v>
      </c>
      <c r="K360" s="39"/>
      <c r="L360" s="33"/>
      <c r="M360" s="33"/>
      <c r="N360" s="33"/>
      <c r="O360" s="23" t="s">
        <v>1248</v>
      </c>
      <c r="P360" s="33"/>
      <c r="Q360" s="33"/>
    </row>
    <row r="361" spans="1:17">
      <c r="A361" s="12" t="s">
        <v>18</v>
      </c>
      <c r="B361" s="12" t="s">
        <v>20</v>
      </c>
      <c r="C361" s="14" t="s">
        <v>14</v>
      </c>
      <c r="D361" s="12" t="s">
        <v>16</v>
      </c>
      <c r="E361" s="15" t="str">
        <f t="shared" si="52"/>
        <v>03040102</v>
      </c>
      <c r="F361" s="16" t="s">
        <v>1222</v>
      </c>
      <c r="G361" s="16" t="str">
        <f t="shared" si="53"/>
        <v>抽屉04</v>
      </c>
      <c r="H361" t="str">
        <f t="shared" si="54"/>
        <v>行号01</v>
      </c>
      <c r="I361" s="16" t="str">
        <f t="shared" si="55"/>
        <v>序号02</v>
      </c>
      <c r="J361" s="38" t="s">
        <v>1181</v>
      </c>
      <c r="K361" s="39"/>
      <c r="L361" s="39"/>
      <c r="M361" s="33"/>
      <c r="N361" s="33"/>
      <c r="O361" s="23" t="s">
        <v>1248</v>
      </c>
      <c r="P361" s="33"/>
      <c r="Q361" s="33"/>
    </row>
    <row r="362" spans="1:17">
      <c r="A362" s="12" t="s">
        <v>18</v>
      </c>
      <c r="B362" s="12" t="s">
        <v>20</v>
      </c>
      <c r="C362" s="14" t="s">
        <v>14</v>
      </c>
      <c r="D362" s="12" t="s">
        <v>18</v>
      </c>
      <c r="E362" s="15" t="str">
        <f t="shared" si="52"/>
        <v>03040103</v>
      </c>
      <c r="F362" s="16" t="s">
        <v>1222</v>
      </c>
      <c r="G362" s="16" t="str">
        <f t="shared" si="53"/>
        <v>抽屉04</v>
      </c>
      <c r="H362" t="str">
        <f t="shared" si="54"/>
        <v>行号01</v>
      </c>
      <c r="I362" s="16" t="str">
        <f t="shared" si="55"/>
        <v>序号03</v>
      </c>
      <c r="J362" s="38" t="s">
        <v>1182</v>
      </c>
      <c r="K362" s="39"/>
      <c r="L362" s="39"/>
      <c r="M362" s="33"/>
      <c r="N362" s="33"/>
      <c r="O362" s="23" t="s">
        <v>1248</v>
      </c>
      <c r="P362" s="33"/>
      <c r="Q362" s="33"/>
    </row>
    <row r="363" spans="1:17">
      <c r="A363" s="12" t="s">
        <v>18</v>
      </c>
      <c r="B363" s="12" t="s">
        <v>20</v>
      </c>
      <c r="C363" s="14" t="s">
        <v>14</v>
      </c>
      <c r="D363" s="12" t="s">
        <v>20</v>
      </c>
      <c r="E363" s="15" t="str">
        <f t="shared" si="52"/>
        <v>03040104</v>
      </c>
      <c r="F363" s="16" t="s">
        <v>1222</v>
      </c>
      <c r="G363" s="16" t="str">
        <f t="shared" si="53"/>
        <v>抽屉04</v>
      </c>
      <c r="H363" t="str">
        <f t="shared" si="54"/>
        <v>行号01</v>
      </c>
      <c r="I363" s="16" t="str">
        <f t="shared" si="55"/>
        <v>序号04</v>
      </c>
      <c r="J363" s="38" t="s">
        <v>1183</v>
      </c>
      <c r="K363" s="39"/>
      <c r="L363" s="39"/>
      <c r="M363" s="33"/>
      <c r="N363" s="33"/>
      <c r="O363" s="23" t="s">
        <v>1248</v>
      </c>
      <c r="P363" s="33"/>
      <c r="Q363" s="33"/>
    </row>
    <row r="364" spans="1:17">
      <c r="A364" s="12" t="s">
        <v>18</v>
      </c>
      <c r="B364" s="12" t="s">
        <v>20</v>
      </c>
      <c r="C364" s="14" t="s">
        <v>14</v>
      </c>
      <c r="D364" s="12" t="s">
        <v>24</v>
      </c>
      <c r="E364" s="15" t="str">
        <f t="shared" si="52"/>
        <v>03040106</v>
      </c>
      <c r="F364" s="16" t="s">
        <v>1222</v>
      </c>
      <c r="G364" s="16" t="str">
        <f t="shared" si="53"/>
        <v>抽屉04</v>
      </c>
      <c r="H364" t="str">
        <f t="shared" si="54"/>
        <v>行号01</v>
      </c>
      <c r="I364" s="16" t="str">
        <f t="shared" si="55"/>
        <v>序号06</v>
      </c>
      <c r="J364" s="38" t="s">
        <v>1185</v>
      </c>
      <c r="K364" s="39"/>
      <c r="L364" s="39"/>
      <c r="M364" s="33"/>
      <c r="N364" s="33"/>
      <c r="O364" s="23" t="s">
        <v>1248</v>
      </c>
      <c r="P364" s="33"/>
      <c r="Q364" s="33"/>
    </row>
    <row r="365" spans="1:17">
      <c r="A365" s="12" t="s">
        <v>18</v>
      </c>
      <c r="B365" s="12" t="s">
        <v>20</v>
      </c>
      <c r="C365" s="12" t="s">
        <v>16</v>
      </c>
      <c r="D365" s="18" t="s">
        <v>14</v>
      </c>
      <c r="E365" s="15" t="str">
        <f t="shared" si="52"/>
        <v>03040201</v>
      </c>
      <c r="F365" s="16" t="s">
        <v>1222</v>
      </c>
      <c r="G365" s="16" t="str">
        <f t="shared" si="53"/>
        <v>抽屉04</v>
      </c>
      <c r="H365" t="str">
        <f t="shared" si="54"/>
        <v>行号02</v>
      </c>
      <c r="I365" s="16" t="str">
        <f t="shared" si="55"/>
        <v>序号01</v>
      </c>
      <c r="J365" s="38" t="s">
        <v>1186</v>
      </c>
      <c r="K365" s="39"/>
      <c r="L365" s="39"/>
      <c r="M365" s="33"/>
      <c r="N365" s="33"/>
      <c r="O365" s="23" t="s">
        <v>1248</v>
      </c>
      <c r="P365" s="33"/>
      <c r="Q365" s="33"/>
    </row>
    <row r="366" spans="1:17">
      <c r="A366" s="12" t="s">
        <v>18</v>
      </c>
      <c r="B366" s="12" t="s">
        <v>20</v>
      </c>
      <c r="C366" s="12" t="s">
        <v>16</v>
      </c>
      <c r="D366" s="18" t="s">
        <v>16</v>
      </c>
      <c r="E366" s="15" t="str">
        <f t="shared" si="52"/>
        <v>03040202</v>
      </c>
      <c r="F366" s="16" t="s">
        <v>1222</v>
      </c>
      <c r="G366" s="16" t="str">
        <f t="shared" si="53"/>
        <v>抽屉04</v>
      </c>
      <c r="H366" t="str">
        <f t="shared" si="54"/>
        <v>行号02</v>
      </c>
      <c r="I366" s="16" t="str">
        <f t="shared" si="55"/>
        <v>序号02</v>
      </c>
      <c r="J366" s="38" t="s">
        <v>1187</v>
      </c>
      <c r="K366" s="39"/>
      <c r="L366" s="39"/>
      <c r="M366" s="33"/>
      <c r="N366" s="33"/>
      <c r="O366" s="23" t="s">
        <v>1248</v>
      </c>
      <c r="P366" s="33"/>
      <c r="Q366" s="33"/>
    </row>
    <row r="367" spans="1:17">
      <c r="A367" s="12" t="s">
        <v>18</v>
      </c>
      <c r="B367" s="12" t="s">
        <v>20</v>
      </c>
      <c r="C367" s="12" t="s">
        <v>16</v>
      </c>
      <c r="D367" s="18" t="s">
        <v>18</v>
      </c>
      <c r="E367" s="15" t="str">
        <f t="shared" si="52"/>
        <v>03040203</v>
      </c>
      <c r="F367" s="16" t="s">
        <v>1222</v>
      </c>
      <c r="G367" s="16" t="str">
        <f t="shared" si="53"/>
        <v>抽屉04</v>
      </c>
      <c r="H367" t="str">
        <f t="shared" si="54"/>
        <v>行号02</v>
      </c>
      <c r="I367" s="16" t="str">
        <f t="shared" si="55"/>
        <v>序号03</v>
      </c>
      <c r="J367" s="38" t="s">
        <v>1188</v>
      </c>
      <c r="K367" s="39"/>
      <c r="L367" s="39"/>
      <c r="M367" s="33"/>
      <c r="N367" s="33"/>
      <c r="O367" s="23" t="s">
        <v>1248</v>
      </c>
      <c r="P367" s="33"/>
      <c r="Q367" s="33"/>
    </row>
    <row r="368" spans="1:17">
      <c r="A368" s="12" t="s">
        <v>18</v>
      </c>
      <c r="B368" s="12" t="s">
        <v>20</v>
      </c>
      <c r="C368" s="12" t="s">
        <v>16</v>
      </c>
      <c r="D368" s="18" t="s">
        <v>20</v>
      </c>
      <c r="E368" s="15" t="str">
        <f t="shared" si="52"/>
        <v>03040204</v>
      </c>
      <c r="F368" s="16" t="s">
        <v>1222</v>
      </c>
      <c r="G368" s="16" t="str">
        <f t="shared" si="53"/>
        <v>抽屉04</v>
      </c>
      <c r="H368" t="str">
        <f t="shared" si="54"/>
        <v>行号02</v>
      </c>
      <c r="I368" s="16" t="str">
        <f t="shared" si="55"/>
        <v>序号04</v>
      </c>
      <c r="J368" s="38" t="s">
        <v>1189</v>
      </c>
      <c r="K368" s="39"/>
      <c r="L368" s="39"/>
      <c r="M368" s="33"/>
      <c r="N368" s="33"/>
      <c r="O368" s="23" t="s">
        <v>1248</v>
      </c>
      <c r="P368" s="33"/>
      <c r="Q368" s="33"/>
    </row>
    <row r="369" spans="1:17">
      <c r="A369" s="12" t="s">
        <v>18</v>
      </c>
      <c r="B369" s="12" t="s">
        <v>20</v>
      </c>
      <c r="C369" s="12" t="s">
        <v>16</v>
      </c>
      <c r="D369" s="18" t="s">
        <v>22</v>
      </c>
      <c r="E369" s="15" t="str">
        <f t="shared" si="52"/>
        <v>03040205</v>
      </c>
      <c r="F369" s="16" t="s">
        <v>1222</v>
      </c>
      <c r="G369" s="16" t="str">
        <f t="shared" si="53"/>
        <v>抽屉04</v>
      </c>
      <c r="H369" t="str">
        <f t="shared" si="54"/>
        <v>行号02</v>
      </c>
      <c r="I369" s="16" t="str">
        <f t="shared" si="55"/>
        <v>序号05</v>
      </c>
      <c r="J369" s="38" t="s">
        <v>1190</v>
      </c>
      <c r="K369" s="39"/>
      <c r="L369" s="39"/>
      <c r="M369" s="33"/>
      <c r="N369" s="33"/>
      <c r="O369" s="23" t="s">
        <v>1248</v>
      </c>
      <c r="P369" s="33"/>
      <c r="Q369" s="33"/>
    </row>
    <row r="370" spans="1:17">
      <c r="A370" s="12" t="s">
        <v>18</v>
      </c>
      <c r="B370" s="12" t="s">
        <v>20</v>
      </c>
      <c r="C370" s="12" t="s">
        <v>16</v>
      </c>
      <c r="D370" s="18" t="s">
        <v>24</v>
      </c>
      <c r="E370" s="15" t="str">
        <f t="shared" si="52"/>
        <v>03040206</v>
      </c>
      <c r="F370" s="16" t="s">
        <v>1222</v>
      </c>
      <c r="G370" s="16" t="str">
        <f t="shared" si="53"/>
        <v>抽屉04</v>
      </c>
      <c r="H370" t="str">
        <f t="shared" si="54"/>
        <v>行号02</v>
      </c>
      <c r="I370" s="16" t="str">
        <f t="shared" si="55"/>
        <v>序号06</v>
      </c>
      <c r="J370" s="38" t="s">
        <v>1191</v>
      </c>
      <c r="K370" s="39"/>
      <c r="L370" s="39"/>
      <c r="M370" s="33"/>
      <c r="N370" s="33"/>
      <c r="O370" s="23" t="s">
        <v>1248</v>
      </c>
      <c r="P370" s="33"/>
      <c r="Q370" s="33"/>
    </row>
    <row r="371" spans="1:17">
      <c r="A371" s="12" t="s">
        <v>18</v>
      </c>
      <c r="B371" s="12" t="s">
        <v>20</v>
      </c>
      <c r="C371" s="12" t="s">
        <v>16</v>
      </c>
      <c r="D371" s="18" t="s">
        <v>26</v>
      </c>
      <c r="E371" s="15" t="str">
        <f t="shared" si="52"/>
        <v>03040207</v>
      </c>
      <c r="F371" s="16" t="s">
        <v>1222</v>
      </c>
      <c r="G371" s="16" t="str">
        <f t="shared" si="53"/>
        <v>抽屉04</v>
      </c>
      <c r="H371" t="str">
        <f t="shared" si="54"/>
        <v>行号02</v>
      </c>
      <c r="I371" s="16" t="str">
        <f t="shared" si="55"/>
        <v>序号07</v>
      </c>
      <c r="J371" s="38" t="s">
        <v>1192</v>
      </c>
      <c r="K371" s="39"/>
      <c r="L371" s="39"/>
      <c r="M371" s="33"/>
      <c r="N371" s="33"/>
      <c r="O371" s="23" t="s">
        <v>1248</v>
      </c>
      <c r="P371" s="33"/>
      <c r="Q371" s="33"/>
    </row>
    <row r="372" spans="1:17">
      <c r="A372" s="12" t="s">
        <v>18</v>
      </c>
      <c r="B372" s="12" t="s">
        <v>20</v>
      </c>
      <c r="C372" s="14" t="s">
        <v>18</v>
      </c>
      <c r="D372" s="12" t="s">
        <v>16</v>
      </c>
      <c r="E372" s="15" t="str">
        <f t="shared" si="52"/>
        <v>03040302</v>
      </c>
      <c r="F372" s="16" t="s">
        <v>1222</v>
      </c>
      <c r="G372" s="16" t="str">
        <f t="shared" si="53"/>
        <v>抽屉04</v>
      </c>
      <c r="H372" t="str">
        <f t="shared" si="54"/>
        <v>行号03</v>
      </c>
      <c r="I372" s="16" t="str">
        <f t="shared" si="55"/>
        <v>序号02</v>
      </c>
      <c r="J372" s="38" t="s">
        <v>1194</v>
      </c>
      <c r="K372" s="39"/>
      <c r="L372" s="39"/>
      <c r="M372" s="33"/>
      <c r="N372" s="33"/>
      <c r="O372" s="23" t="s">
        <v>1248</v>
      </c>
      <c r="P372" s="33"/>
      <c r="Q372" s="33"/>
    </row>
    <row r="373" spans="1:17">
      <c r="A373" s="12" t="s">
        <v>18</v>
      </c>
      <c r="B373" s="12" t="s">
        <v>20</v>
      </c>
      <c r="C373" s="14" t="s">
        <v>18</v>
      </c>
      <c r="D373" s="12" t="s">
        <v>18</v>
      </c>
      <c r="E373" s="15" t="str">
        <f t="shared" si="52"/>
        <v>03040303</v>
      </c>
      <c r="F373" s="16" t="s">
        <v>1222</v>
      </c>
      <c r="G373" s="16" t="str">
        <f t="shared" si="53"/>
        <v>抽屉04</v>
      </c>
      <c r="H373" t="str">
        <f t="shared" si="54"/>
        <v>行号03</v>
      </c>
      <c r="I373" s="16" t="str">
        <f t="shared" si="55"/>
        <v>序号03</v>
      </c>
      <c r="J373" s="38" t="s">
        <v>1195</v>
      </c>
      <c r="K373" s="39"/>
      <c r="L373" s="39"/>
      <c r="M373" s="33"/>
      <c r="N373" s="33"/>
      <c r="O373" s="23" t="s">
        <v>1248</v>
      </c>
      <c r="P373" s="33"/>
      <c r="Q373" s="33"/>
    </row>
    <row r="374" spans="1:17">
      <c r="A374" s="12" t="s">
        <v>18</v>
      </c>
      <c r="B374" s="12" t="s">
        <v>20</v>
      </c>
      <c r="C374" s="14" t="s">
        <v>18</v>
      </c>
      <c r="D374" s="12" t="s">
        <v>20</v>
      </c>
      <c r="E374" s="15" t="str">
        <f t="shared" si="52"/>
        <v>03040304</v>
      </c>
      <c r="F374" s="16" t="s">
        <v>1222</v>
      </c>
      <c r="G374" s="16" t="str">
        <f t="shared" si="53"/>
        <v>抽屉04</v>
      </c>
      <c r="H374" t="str">
        <f t="shared" si="54"/>
        <v>行号03</v>
      </c>
      <c r="I374" s="16" t="str">
        <f t="shared" si="55"/>
        <v>序号04</v>
      </c>
      <c r="J374" s="38" t="s">
        <v>1196</v>
      </c>
      <c r="K374" s="39"/>
      <c r="L374" s="39"/>
      <c r="M374" s="33"/>
      <c r="N374" s="33"/>
      <c r="O374" s="23" t="s">
        <v>1251</v>
      </c>
      <c r="P374" s="33"/>
      <c r="Q374" s="33"/>
    </row>
    <row r="375" spans="1:17">
      <c r="A375" s="12" t="s">
        <v>18</v>
      </c>
      <c r="B375" s="12" t="s">
        <v>20</v>
      </c>
      <c r="C375" s="14" t="s">
        <v>18</v>
      </c>
      <c r="D375" s="12" t="s">
        <v>22</v>
      </c>
      <c r="E375" s="15" t="str">
        <f t="shared" si="52"/>
        <v>03040305</v>
      </c>
      <c r="F375" s="16" t="s">
        <v>1222</v>
      </c>
      <c r="G375" s="16" t="str">
        <f t="shared" si="53"/>
        <v>抽屉04</v>
      </c>
      <c r="H375" t="str">
        <f t="shared" si="54"/>
        <v>行号03</v>
      </c>
      <c r="I375" s="16" t="str">
        <f t="shared" si="55"/>
        <v>序号05</v>
      </c>
      <c r="J375" s="38" t="s">
        <v>1197</v>
      </c>
      <c r="K375" s="39"/>
      <c r="L375" s="39"/>
      <c r="M375" s="33"/>
      <c r="N375" s="33"/>
      <c r="O375" s="23" t="s">
        <v>1248</v>
      </c>
      <c r="P375" s="33"/>
      <c r="Q375" s="33"/>
    </row>
    <row r="376" spans="1:17">
      <c r="A376" s="12" t="s">
        <v>18</v>
      </c>
      <c r="B376" s="13" t="s">
        <v>22</v>
      </c>
      <c r="C376" s="14" t="s">
        <v>14</v>
      </c>
      <c r="D376" s="12" t="s">
        <v>24</v>
      </c>
      <c r="E376" s="15" t="str">
        <f t="shared" si="52"/>
        <v>03050106</v>
      </c>
      <c r="F376" s="16" t="s">
        <v>1222</v>
      </c>
      <c r="G376" s="16" t="str">
        <f t="shared" si="53"/>
        <v>抽屉05</v>
      </c>
      <c r="H376" t="str">
        <f t="shared" si="54"/>
        <v>行号01</v>
      </c>
      <c r="I376" s="16" t="str">
        <f t="shared" si="55"/>
        <v>序号06</v>
      </c>
      <c r="J376" s="38" t="s">
        <v>1204</v>
      </c>
      <c r="K376" s="39"/>
      <c r="L376" s="39"/>
      <c r="M376" s="33"/>
      <c r="N376" s="33"/>
      <c r="O376" s="23" t="s">
        <v>1237</v>
      </c>
      <c r="P376" s="33">
        <v>969449</v>
      </c>
      <c r="Q376" s="33"/>
    </row>
    <row r="377" spans="1:17">
      <c r="A377" s="12" t="s">
        <v>18</v>
      </c>
      <c r="B377" s="13" t="s">
        <v>22</v>
      </c>
      <c r="C377" s="12" t="s">
        <v>16</v>
      </c>
      <c r="D377" s="18" t="s">
        <v>16</v>
      </c>
      <c r="E377" s="15" t="str">
        <f t="shared" si="52"/>
        <v>03050202</v>
      </c>
      <c r="F377" s="16" t="s">
        <v>1222</v>
      </c>
      <c r="G377" s="16" t="str">
        <f t="shared" si="53"/>
        <v>抽屉05</v>
      </c>
      <c r="H377" t="str">
        <f t="shared" si="54"/>
        <v>行号02</v>
      </c>
      <c r="I377" s="16" t="str">
        <f t="shared" si="55"/>
        <v>序号02</v>
      </c>
      <c r="J377" s="38" t="s">
        <v>1205</v>
      </c>
      <c r="K377" s="39"/>
      <c r="L377" s="39"/>
      <c r="M377" s="33"/>
      <c r="N377" s="33"/>
      <c r="O377" s="23" t="s">
        <v>1237</v>
      </c>
      <c r="P377" s="33">
        <v>969448</v>
      </c>
      <c r="Q377" s="33"/>
    </row>
    <row r="378" spans="1:17">
      <c r="A378" s="12" t="s">
        <v>18</v>
      </c>
      <c r="B378" s="12" t="s">
        <v>24</v>
      </c>
      <c r="C378" s="14" t="s">
        <v>14</v>
      </c>
      <c r="D378" s="12" t="s">
        <v>22</v>
      </c>
      <c r="E378" s="15" t="str">
        <f t="shared" si="52"/>
        <v>03060105</v>
      </c>
      <c r="F378" s="16" t="s">
        <v>1222</v>
      </c>
      <c r="G378" s="16" t="str">
        <f t="shared" si="53"/>
        <v>抽屉06</v>
      </c>
      <c r="H378" t="str">
        <f t="shared" si="54"/>
        <v>行号01</v>
      </c>
      <c r="I378" s="16" t="str">
        <f t="shared" si="55"/>
        <v>序号05</v>
      </c>
      <c r="J378" s="38" t="s">
        <v>280</v>
      </c>
      <c r="K378" s="39"/>
      <c r="L378" s="39"/>
      <c r="M378" s="33"/>
      <c r="N378" s="33"/>
      <c r="O378" s="23" t="s">
        <v>1237</v>
      </c>
      <c r="P378" s="33"/>
      <c r="Q378" s="33"/>
    </row>
    <row r="379" spans="1:17">
      <c r="A379" s="12" t="s">
        <v>18</v>
      </c>
      <c r="B379" s="13" t="s">
        <v>26</v>
      </c>
      <c r="C379" s="14" t="s">
        <v>14</v>
      </c>
      <c r="D379" s="12" t="s">
        <v>26</v>
      </c>
      <c r="E379" s="15" t="str">
        <f t="shared" si="52"/>
        <v>03070107</v>
      </c>
      <c r="F379" s="16" t="s">
        <v>1222</v>
      </c>
      <c r="G379" s="16" t="str">
        <f t="shared" si="53"/>
        <v>抽屉07</v>
      </c>
      <c r="H379" t="str">
        <f t="shared" si="54"/>
        <v>行号01</v>
      </c>
      <c r="I379" s="16" t="str">
        <f t="shared" si="55"/>
        <v>序号07</v>
      </c>
      <c r="J379" s="38" t="s">
        <v>297</v>
      </c>
      <c r="K379" s="39"/>
      <c r="L379" s="39"/>
      <c r="M379" s="33"/>
      <c r="N379" s="33"/>
      <c r="O379" s="23" t="s">
        <v>1236</v>
      </c>
      <c r="P379" s="33"/>
      <c r="Q379" s="33"/>
    </row>
    <row r="380" spans="1:17">
      <c r="A380" s="12" t="s">
        <v>18</v>
      </c>
      <c r="B380" s="13" t="s">
        <v>26</v>
      </c>
      <c r="C380" s="12" t="s">
        <v>16</v>
      </c>
      <c r="D380" s="18" t="s">
        <v>18</v>
      </c>
      <c r="E380" s="15" t="str">
        <f t="shared" si="52"/>
        <v>03070203</v>
      </c>
      <c r="F380" s="16" t="s">
        <v>1222</v>
      </c>
      <c r="G380" s="16" t="str">
        <f t="shared" si="53"/>
        <v>抽屉07</v>
      </c>
      <c r="H380" t="str">
        <f t="shared" si="54"/>
        <v>行号02</v>
      </c>
      <c r="I380" s="16" t="str">
        <f t="shared" si="55"/>
        <v>序号03</v>
      </c>
      <c r="J380" s="38" t="s">
        <v>298</v>
      </c>
      <c r="K380" s="39"/>
      <c r="L380" s="39"/>
      <c r="M380" s="33"/>
      <c r="N380" s="33"/>
      <c r="O380" s="23" t="s">
        <v>1236</v>
      </c>
      <c r="P380" s="33">
        <v>861208</v>
      </c>
      <c r="Q380" s="33"/>
    </row>
    <row r="381" spans="1:17">
      <c r="A381" s="12" t="s">
        <v>18</v>
      </c>
      <c r="B381" s="13" t="s">
        <v>26</v>
      </c>
      <c r="C381" s="12" t="s">
        <v>20</v>
      </c>
      <c r="D381" s="18" t="s">
        <v>14</v>
      </c>
      <c r="E381" s="15" t="str">
        <f t="shared" si="52"/>
        <v>03070401</v>
      </c>
      <c r="F381" s="16" t="s">
        <v>1222</v>
      </c>
      <c r="G381" s="16" t="str">
        <f t="shared" si="53"/>
        <v>抽屉07</v>
      </c>
      <c r="H381" t="str">
        <f t="shared" si="54"/>
        <v>行号04</v>
      </c>
      <c r="I381" s="16" t="str">
        <f t="shared" si="55"/>
        <v>序号01</v>
      </c>
      <c r="J381" s="38" t="s">
        <v>308</v>
      </c>
      <c r="K381" s="39"/>
      <c r="L381" s="39"/>
      <c r="M381" s="33"/>
      <c r="N381" s="33"/>
      <c r="O381" s="23" t="s">
        <v>1249</v>
      </c>
      <c r="P381" s="33"/>
      <c r="Q381" s="33"/>
    </row>
    <row r="382" spans="1:17">
      <c r="A382" s="12" t="s">
        <v>18</v>
      </c>
      <c r="B382" s="12" t="s">
        <v>28</v>
      </c>
      <c r="C382" s="14" t="s">
        <v>14</v>
      </c>
      <c r="D382" s="12" t="s">
        <v>16</v>
      </c>
      <c r="E382" s="15" t="str">
        <f t="shared" si="52"/>
        <v>03080102</v>
      </c>
      <c r="F382" s="16" t="s">
        <v>1222</v>
      </c>
      <c r="G382" s="16" t="str">
        <f t="shared" si="53"/>
        <v>抽屉08</v>
      </c>
      <c r="H382" t="str">
        <f t="shared" si="54"/>
        <v>行号01</v>
      </c>
      <c r="I382" s="16" t="str">
        <f t="shared" si="55"/>
        <v>序号02</v>
      </c>
      <c r="J382" s="38" t="s">
        <v>312</v>
      </c>
      <c r="K382" s="39"/>
      <c r="L382" s="39"/>
      <c r="M382" s="33"/>
      <c r="N382" s="33"/>
      <c r="O382" s="23" t="s">
        <v>1237</v>
      </c>
      <c r="P382" s="33"/>
      <c r="Q382" s="33"/>
    </row>
    <row r="383" spans="1:17">
      <c r="A383" s="12" t="s">
        <v>18</v>
      </c>
      <c r="B383" s="12" t="s">
        <v>28</v>
      </c>
      <c r="C383" s="12" t="s">
        <v>16</v>
      </c>
      <c r="D383" s="18" t="s">
        <v>18</v>
      </c>
      <c r="E383" s="15" t="str">
        <f t="shared" si="52"/>
        <v>03080203</v>
      </c>
      <c r="F383" s="16" t="s">
        <v>1222</v>
      </c>
      <c r="G383" s="16" t="str">
        <f t="shared" si="53"/>
        <v>抽屉08</v>
      </c>
      <c r="H383" t="str">
        <f t="shared" si="54"/>
        <v>行号02</v>
      </c>
      <c r="I383" s="16" t="str">
        <f t="shared" si="55"/>
        <v>序号03</v>
      </c>
      <c r="J383" s="38" t="s">
        <v>316</v>
      </c>
      <c r="K383" s="39"/>
      <c r="L383" s="39"/>
      <c r="M383" s="33"/>
      <c r="N383" s="33"/>
      <c r="O383" s="23" t="s">
        <v>1255</v>
      </c>
      <c r="P383" s="33"/>
      <c r="Q383" s="33"/>
    </row>
    <row r="384" spans="1:17">
      <c r="A384" s="12" t="s">
        <v>18</v>
      </c>
      <c r="B384" s="12" t="s">
        <v>28</v>
      </c>
      <c r="C384" s="12" t="s">
        <v>16</v>
      </c>
      <c r="D384" s="18" t="s">
        <v>26</v>
      </c>
      <c r="E384" s="15" t="str">
        <f t="shared" si="52"/>
        <v>03080207</v>
      </c>
      <c r="F384" s="16" t="s">
        <v>1222</v>
      </c>
      <c r="G384" s="16" t="str">
        <f t="shared" si="53"/>
        <v>抽屉08</v>
      </c>
      <c r="H384" t="str">
        <f t="shared" si="54"/>
        <v>行号02</v>
      </c>
      <c r="I384" s="16" t="str">
        <f t="shared" si="55"/>
        <v>序号07</v>
      </c>
      <c r="J384" s="38" t="s">
        <v>318</v>
      </c>
      <c r="K384" s="39"/>
      <c r="L384" s="39"/>
      <c r="M384" s="33"/>
      <c r="N384" s="33"/>
      <c r="O384" s="23" t="s">
        <v>1255</v>
      </c>
      <c r="P384" s="33"/>
      <c r="Q384" s="33"/>
    </row>
    <row r="385" spans="1:17">
      <c r="A385" s="12" t="s">
        <v>18</v>
      </c>
      <c r="B385" s="12" t="s">
        <v>28</v>
      </c>
      <c r="C385" s="14" t="s">
        <v>18</v>
      </c>
      <c r="D385" s="12" t="s">
        <v>16</v>
      </c>
      <c r="E385" s="15" t="str">
        <f t="shared" si="52"/>
        <v>03080302</v>
      </c>
      <c r="F385" s="16" t="s">
        <v>1222</v>
      </c>
      <c r="G385" s="16" t="str">
        <f t="shared" si="53"/>
        <v>抽屉08</v>
      </c>
      <c r="H385" t="str">
        <f t="shared" si="54"/>
        <v>行号03</v>
      </c>
      <c r="I385" s="16" t="str">
        <f t="shared" si="55"/>
        <v>序号02</v>
      </c>
      <c r="J385" s="38" t="s">
        <v>320</v>
      </c>
      <c r="K385" s="39"/>
      <c r="L385" s="39"/>
      <c r="M385" s="33"/>
      <c r="N385" s="33"/>
      <c r="O385" s="23" t="s">
        <v>1256</v>
      </c>
      <c r="P385" s="33"/>
      <c r="Q385" s="33"/>
    </row>
    <row r="386" spans="1:17">
      <c r="A386" s="12" t="s">
        <v>18</v>
      </c>
      <c r="B386" s="12" t="s">
        <v>28</v>
      </c>
      <c r="C386" s="14" t="s">
        <v>18</v>
      </c>
      <c r="D386" s="12" t="s">
        <v>18</v>
      </c>
      <c r="E386" s="15" t="str">
        <f t="shared" si="52"/>
        <v>03080303</v>
      </c>
      <c r="F386" s="16" t="s">
        <v>1222</v>
      </c>
      <c r="G386" s="16" t="str">
        <f t="shared" si="53"/>
        <v>抽屉08</v>
      </c>
      <c r="H386" t="str">
        <f t="shared" si="54"/>
        <v>行号03</v>
      </c>
      <c r="I386" s="16" t="str">
        <f t="shared" si="55"/>
        <v>序号03</v>
      </c>
      <c r="J386" s="38" t="s">
        <v>321</v>
      </c>
      <c r="K386" s="39"/>
      <c r="L386" s="39"/>
      <c r="M386" s="33"/>
      <c r="N386" s="33"/>
      <c r="O386" s="23" t="s">
        <v>1237</v>
      </c>
      <c r="P386" s="33"/>
      <c r="Q386" s="33"/>
    </row>
    <row r="387" spans="1:17">
      <c r="A387" s="12" t="s">
        <v>18</v>
      </c>
      <c r="B387" s="12" t="s">
        <v>28</v>
      </c>
      <c r="C387" s="14" t="s">
        <v>18</v>
      </c>
      <c r="D387" s="12" t="s">
        <v>20</v>
      </c>
      <c r="E387" s="15" t="str">
        <f t="shared" si="52"/>
        <v>03080304</v>
      </c>
      <c r="F387" s="16" t="s">
        <v>1222</v>
      </c>
      <c r="G387" s="16" t="str">
        <f t="shared" si="53"/>
        <v>抽屉08</v>
      </c>
      <c r="H387" t="str">
        <f t="shared" si="54"/>
        <v>行号03</v>
      </c>
      <c r="I387" s="16" t="str">
        <f t="shared" si="55"/>
        <v>序号04</v>
      </c>
      <c r="J387" s="38" t="s">
        <v>322</v>
      </c>
      <c r="K387" s="39"/>
      <c r="L387" s="39"/>
      <c r="M387" s="33"/>
      <c r="N387" s="33"/>
      <c r="O387" s="23" t="s">
        <v>1237</v>
      </c>
      <c r="P387" s="33"/>
      <c r="Q387" s="33"/>
    </row>
    <row r="388" spans="1:17">
      <c r="A388" s="12" t="s">
        <v>18</v>
      </c>
      <c r="B388" s="12" t="s">
        <v>28</v>
      </c>
      <c r="C388" s="14" t="s">
        <v>18</v>
      </c>
      <c r="D388" s="12" t="s">
        <v>22</v>
      </c>
      <c r="E388" s="15" t="str">
        <f t="shared" si="52"/>
        <v>03080305</v>
      </c>
      <c r="F388" s="16" t="s">
        <v>1222</v>
      </c>
      <c r="G388" s="16" t="str">
        <f t="shared" si="53"/>
        <v>抽屉08</v>
      </c>
      <c r="H388" t="str">
        <f t="shared" si="54"/>
        <v>行号03</v>
      </c>
      <c r="I388" s="16" t="str">
        <f t="shared" si="55"/>
        <v>序号05</v>
      </c>
      <c r="J388" s="38" t="s">
        <v>323</v>
      </c>
      <c r="K388" s="39"/>
      <c r="L388" s="39"/>
      <c r="M388" s="33"/>
      <c r="N388" s="33"/>
      <c r="O388" s="23" t="s">
        <v>1257</v>
      </c>
      <c r="P388" s="33"/>
      <c r="Q388" s="33"/>
    </row>
    <row r="389" spans="1:17">
      <c r="A389" s="12" t="s">
        <v>18</v>
      </c>
      <c r="B389" s="12" t="s">
        <v>28</v>
      </c>
      <c r="C389" s="14" t="s">
        <v>18</v>
      </c>
      <c r="D389" s="12" t="s">
        <v>28</v>
      </c>
      <c r="E389" s="15" t="str">
        <f t="shared" si="52"/>
        <v>03080308</v>
      </c>
      <c r="F389" s="16" t="s">
        <v>1222</v>
      </c>
      <c r="G389" s="16" t="str">
        <f t="shared" si="53"/>
        <v>抽屉08</v>
      </c>
      <c r="H389" t="str">
        <f t="shared" si="54"/>
        <v>行号03</v>
      </c>
      <c r="I389" s="16" t="str">
        <f t="shared" si="55"/>
        <v>序号08</v>
      </c>
      <c r="J389" s="38" t="s">
        <v>326</v>
      </c>
      <c r="K389" s="39"/>
      <c r="L389" s="39"/>
      <c r="M389" s="33"/>
      <c r="N389" s="33"/>
      <c r="O389" s="23" t="s">
        <v>1237</v>
      </c>
      <c r="P389" s="33"/>
      <c r="Q389" s="33"/>
    </row>
    <row r="390" spans="1:17">
      <c r="A390" s="12" t="s">
        <v>18</v>
      </c>
      <c r="B390" s="12" t="s">
        <v>28</v>
      </c>
      <c r="C390" s="12" t="s">
        <v>20</v>
      </c>
      <c r="D390" s="18" t="s">
        <v>16</v>
      </c>
      <c r="E390" s="15" t="str">
        <f t="shared" si="52"/>
        <v>03080402</v>
      </c>
      <c r="F390" s="16" t="s">
        <v>1222</v>
      </c>
      <c r="G390" s="16" t="str">
        <f t="shared" si="53"/>
        <v>抽屉08</v>
      </c>
      <c r="H390" t="str">
        <f t="shared" si="54"/>
        <v>行号04</v>
      </c>
      <c r="I390" s="16" t="str">
        <f t="shared" si="55"/>
        <v>序号02</v>
      </c>
      <c r="J390" s="38" t="s">
        <v>328</v>
      </c>
      <c r="K390" s="39"/>
      <c r="L390" s="39"/>
      <c r="M390" s="33"/>
      <c r="N390" s="33"/>
      <c r="O390" s="23" t="s">
        <v>1237</v>
      </c>
      <c r="P390" s="33"/>
      <c r="Q390" s="33"/>
    </row>
    <row r="391" spans="1:17">
      <c r="A391" s="12" t="s">
        <v>18</v>
      </c>
      <c r="B391" s="12" t="s">
        <v>28</v>
      </c>
      <c r="C391" s="12" t="s">
        <v>20</v>
      </c>
      <c r="D391" s="18" t="s">
        <v>18</v>
      </c>
      <c r="E391" s="15" t="str">
        <f t="shared" si="52"/>
        <v>03080403</v>
      </c>
      <c r="F391" s="16" t="s">
        <v>1222</v>
      </c>
      <c r="G391" s="16" t="str">
        <f t="shared" si="53"/>
        <v>抽屉08</v>
      </c>
      <c r="H391" t="str">
        <f t="shared" si="54"/>
        <v>行号04</v>
      </c>
      <c r="I391" s="16" t="str">
        <f t="shared" si="55"/>
        <v>序号03</v>
      </c>
      <c r="J391" s="38" t="s">
        <v>329</v>
      </c>
      <c r="K391" s="39"/>
      <c r="L391" s="39"/>
      <c r="M391" s="33"/>
      <c r="N391" s="33"/>
      <c r="O391" s="23" t="s">
        <v>1258</v>
      </c>
      <c r="P391" s="33"/>
      <c r="Q391" s="33"/>
    </row>
    <row r="392" spans="1:17">
      <c r="A392" s="12" t="s">
        <v>18</v>
      </c>
      <c r="B392" s="12" t="s">
        <v>28</v>
      </c>
      <c r="C392" s="12" t="s">
        <v>20</v>
      </c>
      <c r="D392" s="18" t="s">
        <v>20</v>
      </c>
      <c r="E392" s="15" t="str">
        <f t="shared" ref="E392:E423" si="60">A392&amp;B392&amp;C392&amp;D392</f>
        <v>03080404</v>
      </c>
      <c r="F392" s="16" t="s">
        <v>1222</v>
      </c>
      <c r="G392" s="16" t="str">
        <f t="shared" ref="G392:G423" si="61">"抽屉"&amp;B392</f>
        <v>抽屉08</v>
      </c>
      <c r="H392" t="str">
        <f t="shared" ref="H392:H423" si="62">"行号"&amp;C392</f>
        <v>行号04</v>
      </c>
      <c r="I392" s="16" t="str">
        <f t="shared" ref="I392:I423" si="63">"序号"&amp;D392</f>
        <v>序号04</v>
      </c>
      <c r="J392" s="38" t="s">
        <v>330</v>
      </c>
      <c r="K392" s="39"/>
      <c r="L392" s="39"/>
      <c r="M392" s="33"/>
      <c r="N392" s="33"/>
      <c r="O392" s="23" t="s">
        <v>1256</v>
      </c>
      <c r="P392" s="33"/>
      <c r="Q392" s="33"/>
    </row>
    <row r="393" spans="1:17">
      <c r="A393" s="12" t="s">
        <v>18</v>
      </c>
      <c r="B393" s="12" t="s">
        <v>333</v>
      </c>
      <c r="C393" s="14" t="s">
        <v>14</v>
      </c>
      <c r="D393" s="12" t="s">
        <v>24</v>
      </c>
      <c r="E393" s="15" t="str">
        <f t="shared" si="60"/>
        <v>03090106</v>
      </c>
      <c r="F393" s="16" t="s">
        <v>1222</v>
      </c>
      <c r="G393" s="16" t="str">
        <f t="shared" si="61"/>
        <v>抽屉09</v>
      </c>
      <c r="H393" t="str">
        <f t="shared" si="62"/>
        <v>行号01</v>
      </c>
      <c r="I393" s="16" t="str">
        <f t="shared" si="63"/>
        <v>序号06</v>
      </c>
      <c r="J393" s="38" t="s">
        <v>338</v>
      </c>
      <c r="K393" s="39"/>
      <c r="L393" s="39"/>
      <c r="M393" s="33"/>
      <c r="N393" s="33"/>
      <c r="O393" s="23" t="s">
        <v>1259</v>
      </c>
      <c r="P393" s="33"/>
      <c r="Q393" s="33"/>
    </row>
    <row r="394" spans="1:17">
      <c r="A394" s="12" t="s">
        <v>18</v>
      </c>
      <c r="B394" s="12" t="s">
        <v>333</v>
      </c>
      <c r="C394" s="14" t="s">
        <v>18</v>
      </c>
      <c r="D394" s="12" t="s">
        <v>14</v>
      </c>
      <c r="E394" s="15" t="str">
        <f t="shared" si="60"/>
        <v>03090301</v>
      </c>
      <c r="F394" s="16" t="s">
        <v>1222</v>
      </c>
      <c r="G394" s="16" t="str">
        <f t="shared" si="61"/>
        <v>抽屉09</v>
      </c>
      <c r="H394" t="str">
        <f t="shared" si="62"/>
        <v>行号03</v>
      </c>
      <c r="I394" s="16" t="str">
        <f t="shared" si="63"/>
        <v>序号01</v>
      </c>
      <c r="J394" s="38" t="s">
        <v>345</v>
      </c>
      <c r="K394" s="39"/>
      <c r="L394" s="39"/>
      <c r="M394" s="33"/>
      <c r="N394" s="33"/>
      <c r="O394" s="23" t="s">
        <v>1237</v>
      </c>
      <c r="P394" s="33"/>
      <c r="Q394" s="33"/>
    </row>
    <row r="395" spans="1:17">
      <c r="A395" s="12" t="s">
        <v>18</v>
      </c>
      <c r="B395" s="12" t="s">
        <v>333</v>
      </c>
      <c r="C395" s="14" t="s">
        <v>18</v>
      </c>
      <c r="D395" s="12" t="s">
        <v>18</v>
      </c>
      <c r="E395" s="15" t="str">
        <f t="shared" si="60"/>
        <v>03090303</v>
      </c>
      <c r="F395" s="16" t="s">
        <v>1222</v>
      </c>
      <c r="G395" s="16" t="str">
        <f t="shared" si="61"/>
        <v>抽屉09</v>
      </c>
      <c r="H395" t="str">
        <f t="shared" si="62"/>
        <v>行号03</v>
      </c>
      <c r="I395" s="16" t="str">
        <f t="shared" si="63"/>
        <v>序号03</v>
      </c>
      <c r="J395" s="38" t="s">
        <v>347</v>
      </c>
      <c r="K395" s="39"/>
      <c r="L395" s="39"/>
      <c r="M395" s="33"/>
      <c r="N395" s="33"/>
      <c r="O395" s="23" t="s">
        <v>1259</v>
      </c>
      <c r="P395" s="33">
        <v>929112</v>
      </c>
      <c r="Q395" s="33"/>
    </row>
    <row r="396" spans="1:17">
      <c r="A396" s="12" t="s">
        <v>18</v>
      </c>
      <c r="B396" s="12" t="s">
        <v>352</v>
      </c>
      <c r="C396" s="14" t="s">
        <v>14</v>
      </c>
      <c r="D396" s="12" t="s">
        <v>14</v>
      </c>
      <c r="E396" s="15" t="str">
        <f t="shared" si="60"/>
        <v>030100101</v>
      </c>
      <c r="F396" s="16" t="s">
        <v>1222</v>
      </c>
      <c r="G396" s="16" t="str">
        <f t="shared" si="61"/>
        <v>抽屉010</v>
      </c>
      <c r="H396" t="str">
        <f t="shared" si="62"/>
        <v>行号01</v>
      </c>
      <c r="I396" s="16" t="str">
        <f t="shared" si="63"/>
        <v>序号01</v>
      </c>
      <c r="J396" s="38" t="s">
        <v>353</v>
      </c>
      <c r="K396" s="39"/>
      <c r="L396" s="39"/>
      <c r="M396" s="33"/>
      <c r="N396" s="33"/>
      <c r="O396" s="23" t="s">
        <v>1260</v>
      </c>
      <c r="P396" s="33"/>
      <c r="Q396" s="33"/>
    </row>
    <row r="397" spans="1:17">
      <c r="A397" s="12" t="s">
        <v>18</v>
      </c>
      <c r="B397" s="12" t="s">
        <v>352</v>
      </c>
      <c r="C397" s="14" t="s">
        <v>14</v>
      </c>
      <c r="D397" s="12" t="s">
        <v>16</v>
      </c>
      <c r="E397" s="15" t="str">
        <f t="shared" si="60"/>
        <v>030100102</v>
      </c>
      <c r="F397" s="16" t="s">
        <v>1222</v>
      </c>
      <c r="G397" s="16" t="str">
        <f t="shared" si="61"/>
        <v>抽屉010</v>
      </c>
      <c r="H397" t="str">
        <f t="shared" si="62"/>
        <v>行号01</v>
      </c>
      <c r="I397" s="16" t="str">
        <f t="shared" si="63"/>
        <v>序号02</v>
      </c>
      <c r="J397" s="38" t="s">
        <v>354</v>
      </c>
      <c r="K397" s="39"/>
      <c r="L397" s="39"/>
      <c r="M397" s="33"/>
      <c r="N397" s="33"/>
      <c r="O397" s="23" t="s">
        <v>1260</v>
      </c>
      <c r="P397" s="33"/>
      <c r="Q397" s="33"/>
    </row>
    <row r="398" spans="1:17">
      <c r="A398" s="12" t="s">
        <v>18</v>
      </c>
      <c r="B398" s="12" t="s">
        <v>352</v>
      </c>
      <c r="C398" s="14" t="s">
        <v>14</v>
      </c>
      <c r="D398" s="12" t="s">
        <v>18</v>
      </c>
      <c r="E398" s="15" t="str">
        <f t="shared" si="60"/>
        <v>030100103</v>
      </c>
      <c r="F398" s="16" t="s">
        <v>1222</v>
      </c>
      <c r="G398" s="16" t="str">
        <f t="shared" si="61"/>
        <v>抽屉010</v>
      </c>
      <c r="H398" t="str">
        <f t="shared" si="62"/>
        <v>行号01</v>
      </c>
      <c r="I398" s="16" t="str">
        <f t="shared" si="63"/>
        <v>序号03</v>
      </c>
      <c r="J398" s="38" t="s">
        <v>355</v>
      </c>
      <c r="K398" s="39"/>
      <c r="L398" s="39"/>
      <c r="M398" s="33"/>
      <c r="N398" s="33"/>
      <c r="O398" s="23" t="s">
        <v>1260</v>
      </c>
      <c r="P398" s="33"/>
      <c r="Q398" s="33"/>
    </row>
    <row r="399" spans="1:17">
      <c r="A399" s="12" t="s">
        <v>18</v>
      </c>
      <c r="B399" s="12" t="s">
        <v>352</v>
      </c>
      <c r="C399" s="14" t="s">
        <v>14</v>
      </c>
      <c r="D399" s="12" t="s">
        <v>20</v>
      </c>
      <c r="E399" s="15" t="str">
        <f t="shared" si="60"/>
        <v>030100104</v>
      </c>
      <c r="F399" s="16" t="s">
        <v>1222</v>
      </c>
      <c r="G399" s="16" t="str">
        <f t="shared" si="61"/>
        <v>抽屉010</v>
      </c>
      <c r="H399" t="str">
        <f t="shared" si="62"/>
        <v>行号01</v>
      </c>
      <c r="I399" s="16" t="str">
        <f t="shared" si="63"/>
        <v>序号04</v>
      </c>
      <c r="J399" s="38" t="s">
        <v>356</v>
      </c>
      <c r="K399" s="39"/>
      <c r="L399" s="39"/>
      <c r="M399" s="33"/>
      <c r="N399" s="33"/>
      <c r="O399" s="23" t="s">
        <v>1260</v>
      </c>
      <c r="P399" s="33"/>
      <c r="Q399" s="33"/>
    </row>
    <row r="400" spans="1:17">
      <c r="A400" s="12" t="s">
        <v>18</v>
      </c>
      <c r="B400" s="12" t="s">
        <v>352</v>
      </c>
      <c r="C400" s="14" t="s">
        <v>14</v>
      </c>
      <c r="D400" s="12" t="s">
        <v>22</v>
      </c>
      <c r="E400" s="15" t="str">
        <f t="shared" si="60"/>
        <v>030100105</v>
      </c>
      <c r="F400" s="16" t="s">
        <v>1222</v>
      </c>
      <c r="G400" s="16" t="str">
        <f t="shared" si="61"/>
        <v>抽屉010</v>
      </c>
      <c r="H400" t="str">
        <f t="shared" si="62"/>
        <v>行号01</v>
      </c>
      <c r="I400" s="16" t="str">
        <f t="shared" si="63"/>
        <v>序号05</v>
      </c>
      <c r="J400" s="38" t="s">
        <v>357</v>
      </c>
      <c r="K400" s="39"/>
      <c r="L400" s="39"/>
      <c r="M400" s="33"/>
      <c r="N400" s="33"/>
      <c r="O400" s="23" t="s">
        <v>1260</v>
      </c>
      <c r="P400" s="33"/>
      <c r="Q400" s="33"/>
    </row>
    <row r="401" spans="1:17">
      <c r="A401" s="12" t="s">
        <v>18</v>
      </c>
      <c r="B401" s="12" t="s">
        <v>352</v>
      </c>
      <c r="C401" s="14" t="s">
        <v>14</v>
      </c>
      <c r="D401" s="12" t="s">
        <v>26</v>
      </c>
      <c r="E401" s="15" t="str">
        <f t="shared" si="60"/>
        <v>030100107</v>
      </c>
      <c r="F401" s="16" t="s">
        <v>1222</v>
      </c>
      <c r="G401" s="16" t="str">
        <f t="shared" si="61"/>
        <v>抽屉010</v>
      </c>
      <c r="H401" t="str">
        <f t="shared" si="62"/>
        <v>行号01</v>
      </c>
      <c r="I401" s="16" t="str">
        <f t="shared" si="63"/>
        <v>序号07</v>
      </c>
      <c r="J401" s="38" t="s">
        <v>359</v>
      </c>
      <c r="K401" s="39"/>
      <c r="L401" s="39"/>
      <c r="M401" s="33"/>
      <c r="N401" s="33"/>
      <c r="O401" s="23" t="s">
        <v>1260</v>
      </c>
      <c r="P401" s="33"/>
      <c r="Q401" s="33"/>
    </row>
    <row r="402" spans="1:17">
      <c r="A402" s="12" t="s">
        <v>18</v>
      </c>
      <c r="B402" s="12" t="s">
        <v>352</v>
      </c>
      <c r="C402" s="14" t="s">
        <v>14</v>
      </c>
      <c r="D402" s="12" t="s">
        <v>28</v>
      </c>
      <c r="E402" s="15" t="str">
        <f t="shared" si="60"/>
        <v>030100108</v>
      </c>
      <c r="F402" s="16" t="s">
        <v>1222</v>
      </c>
      <c r="G402" s="16" t="str">
        <f t="shared" si="61"/>
        <v>抽屉010</v>
      </c>
      <c r="H402" t="str">
        <f t="shared" si="62"/>
        <v>行号01</v>
      </c>
      <c r="I402" s="16" t="str">
        <f t="shared" si="63"/>
        <v>序号08</v>
      </c>
      <c r="J402" s="38" t="s">
        <v>360</v>
      </c>
      <c r="K402" s="39"/>
      <c r="L402" s="39"/>
      <c r="M402" s="33"/>
      <c r="N402" s="33"/>
      <c r="O402" s="23" t="s">
        <v>1260</v>
      </c>
      <c r="P402" s="33"/>
      <c r="Q402" s="33"/>
    </row>
    <row r="403" spans="1:17">
      <c r="A403" s="12" t="s">
        <v>18</v>
      </c>
      <c r="B403" s="12" t="s">
        <v>352</v>
      </c>
      <c r="C403" s="12" t="s">
        <v>16</v>
      </c>
      <c r="D403" s="18" t="s">
        <v>14</v>
      </c>
      <c r="E403" s="15" t="str">
        <f t="shared" si="60"/>
        <v>030100201</v>
      </c>
      <c r="F403" s="16" t="s">
        <v>1222</v>
      </c>
      <c r="G403" s="16" t="str">
        <f t="shared" si="61"/>
        <v>抽屉010</v>
      </c>
      <c r="H403" t="str">
        <f t="shared" si="62"/>
        <v>行号02</v>
      </c>
      <c r="I403" s="16" t="str">
        <f t="shared" si="63"/>
        <v>序号01</v>
      </c>
      <c r="J403" s="38" t="s">
        <v>361</v>
      </c>
      <c r="K403" s="39"/>
      <c r="L403" s="39"/>
      <c r="M403" s="33"/>
      <c r="N403" s="33"/>
      <c r="O403" s="23" t="s">
        <v>1260</v>
      </c>
      <c r="P403" s="33"/>
      <c r="Q403" s="33"/>
    </row>
    <row r="404" spans="1:17">
      <c r="A404" s="12" t="s">
        <v>18</v>
      </c>
      <c r="B404" s="12" t="s">
        <v>352</v>
      </c>
      <c r="C404" s="12" t="s">
        <v>16</v>
      </c>
      <c r="D404" s="18" t="s">
        <v>16</v>
      </c>
      <c r="E404" s="15" t="str">
        <f t="shared" si="60"/>
        <v>030100202</v>
      </c>
      <c r="F404" s="16" t="s">
        <v>1222</v>
      </c>
      <c r="G404" s="16" t="str">
        <f t="shared" si="61"/>
        <v>抽屉010</v>
      </c>
      <c r="H404" t="str">
        <f t="shared" si="62"/>
        <v>行号02</v>
      </c>
      <c r="I404" s="16" t="str">
        <f t="shared" si="63"/>
        <v>序号02</v>
      </c>
      <c r="J404" s="38" t="s">
        <v>362</v>
      </c>
      <c r="K404" s="39"/>
      <c r="L404" s="39"/>
      <c r="M404" s="33"/>
      <c r="N404" s="33"/>
      <c r="O404" s="23" t="s">
        <v>1260</v>
      </c>
      <c r="P404" s="33"/>
      <c r="Q404" s="33"/>
    </row>
    <row r="405" spans="1:17">
      <c r="A405" s="12" t="s">
        <v>18</v>
      </c>
      <c r="B405" s="12" t="s">
        <v>352</v>
      </c>
      <c r="C405" s="12" t="s">
        <v>16</v>
      </c>
      <c r="D405" s="18" t="s">
        <v>18</v>
      </c>
      <c r="E405" s="15" t="str">
        <f t="shared" si="60"/>
        <v>030100203</v>
      </c>
      <c r="F405" s="16" t="s">
        <v>1222</v>
      </c>
      <c r="G405" s="16" t="str">
        <f t="shared" si="61"/>
        <v>抽屉010</v>
      </c>
      <c r="H405" t="str">
        <f t="shared" si="62"/>
        <v>行号02</v>
      </c>
      <c r="I405" s="16" t="str">
        <f t="shared" si="63"/>
        <v>序号03</v>
      </c>
      <c r="J405" s="38" t="s">
        <v>363</v>
      </c>
      <c r="K405" s="39"/>
      <c r="L405" s="39"/>
      <c r="M405" s="33"/>
      <c r="N405" s="33"/>
      <c r="O405" s="23" t="s">
        <v>1260</v>
      </c>
      <c r="P405" s="33"/>
      <c r="Q405" s="33"/>
    </row>
    <row r="406" spans="1:17">
      <c r="A406" s="12" t="s">
        <v>18</v>
      </c>
      <c r="B406" s="12" t="s">
        <v>352</v>
      </c>
      <c r="C406" s="12" t="s">
        <v>16</v>
      </c>
      <c r="D406" s="18" t="s">
        <v>20</v>
      </c>
      <c r="E406" s="15" t="str">
        <f t="shared" si="60"/>
        <v>030100204</v>
      </c>
      <c r="F406" s="16" t="s">
        <v>1222</v>
      </c>
      <c r="G406" s="16" t="str">
        <f t="shared" si="61"/>
        <v>抽屉010</v>
      </c>
      <c r="H406" t="str">
        <f t="shared" si="62"/>
        <v>行号02</v>
      </c>
      <c r="I406" s="16" t="str">
        <f t="shared" si="63"/>
        <v>序号04</v>
      </c>
      <c r="J406" s="38" t="s">
        <v>364</v>
      </c>
      <c r="K406" s="39"/>
      <c r="L406" s="39"/>
      <c r="M406" s="33"/>
      <c r="N406" s="33"/>
      <c r="O406" s="23" t="s">
        <v>1260</v>
      </c>
      <c r="P406" s="33"/>
      <c r="Q406" s="33"/>
    </row>
    <row r="407" spans="1:17">
      <c r="A407" s="12" t="s">
        <v>18</v>
      </c>
      <c r="B407" s="12" t="s">
        <v>352</v>
      </c>
      <c r="C407" s="12" t="s">
        <v>16</v>
      </c>
      <c r="D407" s="18" t="s">
        <v>22</v>
      </c>
      <c r="E407" s="15" t="str">
        <f t="shared" si="60"/>
        <v>030100205</v>
      </c>
      <c r="F407" s="16" t="s">
        <v>1222</v>
      </c>
      <c r="G407" s="16" t="str">
        <f t="shared" si="61"/>
        <v>抽屉010</v>
      </c>
      <c r="H407" t="str">
        <f t="shared" si="62"/>
        <v>行号02</v>
      </c>
      <c r="I407" s="16" t="str">
        <f t="shared" si="63"/>
        <v>序号05</v>
      </c>
      <c r="J407" s="38" t="s">
        <v>365</v>
      </c>
      <c r="K407" s="39"/>
      <c r="L407" s="39"/>
      <c r="M407" s="33"/>
      <c r="N407" s="33"/>
      <c r="O407" s="23" t="s">
        <v>1260</v>
      </c>
      <c r="P407" s="33"/>
      <c r="Q407" s="33"/>
    </row>
    <row r="408" spans="1:17">
      <c r="A408" s="12" t="s">
        <v>18</v>
      </c>
      <c r="B408" s="12" t="s">
        <v>352</v>
      </c>
      <c r="C408" s="12" t="s">
        <v>16</v>
      </c>
      <c r="D408" s="18" t="s">
        <v>24</v>
      </c>
      <c r="E408" s="15" t="str">
        <f t="shared" si="60"/>
        <v>030100206</v>
      </c>
      <c r="F408" s="16" t="s">
        <v>1222</v>
      </c>
      <c r="G408" s="16" t="str">
        <f t="shared" si="61"/>
        <v>抽屉010</v>
      </c>
      <c r="H408" t="str">
        <f t="shared" si="62"/>
        <v>行号02</v>
      </c>
      <c r="I408" s="16" t="str">
        <f t="shared" si="63"/>
        <v>序号06</v>
      </c>
      <c r="J408" s="38" t="s">
        <v>366</v>
      </c>
      <c r="K408" s="39"/>
      <c r="L408" s="39"/>
      <c r="M408" s="33"/>
      <c r="N408" s="33"/>
      <c r="O408" s="23" t="s">
        <v>1260</v>
      </c>
      <c r="P408" s="33"/>
      <c r="Q408" s="33"/>
    </row>
    <row r="409" spans="1:17">
      <c r="A409" s="12" t="s">
        <v>18</v>
      </c>
      <c r="B409" s="12" t="s">
        <v>352</v>
      </c>
      <c r="C409" s="12" t="s">
        <v>16</v>
      </c>
      <c r="D409" s="18" t="s">
        <v>28</v>
      </c>
      <c r="E409" s="15" t="str">
        <f t="shared" si="60"/>
        <v>030100208</v>
      </c>
      <c r="F409" s="16" t="s">
        <v>1222</v>
      </c>
      <c r="G409" s="16" t="str">
        <f t="shared" si="61"/>
        <v>抽屉010</v>
      </c>
      <c r="H409" t="str">
        <f t="shared" si="62"/>
        <v>行号02</v>
      </c>
      <c r="I409" s="16" t="str">
        <f t="shared" si="63"/>
        <v>序号08</v>
      </c>
      <c r="J409" s="38" t="s">
        <v>368</v>
      </c>
      <c r="K409" s="39"/>
      <c r="L409" s="39"/>
      <c r="M409" s="33"/>
      <c r="N409" s="33"/>
      <c r="O409" s="23" t="s">
        <v>1260</v>
      </c>
      <c r="P409" s="33"/>
      <c r="Q409" s="33"/>
    </row>
    <row r="410" spans="1:17">
      <c r="A410" s="12" t="s">
        <v>18</v>
      </c>
      <c r="B410" s="12" t="s">
        <v>352</v>
      </c>
      <c r="C410" s="14" t="s">
        <v>18</v>
      </c>
      <c r="D410" s="12" t="s">
        <v>16</v>
      </c>
      <c r="E410" s="15" t="str">
        <f t="shared" si="60"/>
        <v>030100302</v>
      </c>
      <c r="F410" s="16" t="s">
        <v>1222</v>
      </c>
      <c r="G410" s="16" t="str">
        <f t="shared" si="61"/>
        <v>抽屉010</v>
      </c>
      <c r="H410" t="str">
        <f t="shared" si="62"/>
        <v>行号03</v>
      </c>
      <c r="I410" s="16" t="str">
        <f t="shared" si="63"/>
        <v>序号02</v>
      </c>
      <c r="J410" s="38" t="s">
        <v>369</v>
      </c>
      <c r="K410" s="39"/>
      <c r="L410" s="39"/>
      <c r="M410" s="33"/>
      <c r="N410" s="33"/>
      <c r="O410" s="23" t="s">
        <v>1260</v>
      </c>
      <c r="P410" s="33"/>
      <c r="Q410" s="33"/>
    </row>
    <row r="411" spans="1:17">
      <c r="A411" s="12" t="s">
        <v>18</v>
      </c>
      <c r="B411" s="12" t="s">
        <v>352</v>
      </c>
      <c r="C411" s="14" t="s">
        <v>18</v>
      </c>
      <c r="D411" s="12" t="s">
        <v>20</v>
      </c>
      <c r="E411" s="15" t="str">
        <f t="shared" si="60"/>
        <v>030100304</v>
      </c>
      <c r="F411" s="16" t="s">
        <v>1222</v>
      </c>
      <c r="G411" s="16" t="str">
        <f t="shared" si="61"/>
        <v>抽屉010</v>
      </c>
      <c r="H411" t="str">
        <f t="shared" si="62"/>
        <v>行号03</v>
      </c>
      <c r="I411" s="16" t="str">
        <f t="shared" si="63"/>
        <v>序号04</v>
      </c>
      <c r="J411" s="38" t="s">
        <v>371</v>
      </c>
      <c r="K411" s="39"/>
      <c r="L411" s="39"/>
      <c r="M411" s="33"/>
      <c r="N411" s="33"/>
      <c r="O411" s="23" t="s">
        <v>1260</v>
      </c>
      <c r="P411" s="33"/>
      <c r="Q411" s="33"/>
    </row>
    <row r="412" spans="1:17">
      <c r="A412" s="12" t="s">
        <v>18</v>
      </c>
      <c r="B412" s="12" t="s">
        <v>352</v>
      </c>
      <c r="C412" s="14" t="s">
        <v>18</v>
      </c>
      <c r="D412" s="12" t="s">
        <v>22</v>
      </c>
      <c r="E412" s="15" t="str">
        <f t="shared" si="60"/>
        <v>030100305</v>
      </c>
      <c r="F412" s="16" t="s">
        <v>1222</v>
      </c>
      <c r="G412" s="16" t="str">
        <f t="shared" si="61"/>
        <v>抽屉010</v>
      </c>
      <c r="H412" t="str">
        <f t="shared" si="62"/>
        <v>行号03</v>
      </c>
      <c r="I412" s="16" t="str">
        <f t="shared" si="63"/>
        <v>序号05</v>
      </c>
      <c r="J412" s="38" t="s">
        <v>1143</v>
      </c>
      <c r="K412" s="39"/>
      <c r="L412" s="39"/>
      <c r="M412" s="33"/>
      <c r="N412" s="33"/>
      <c r="O412" s="23" t="s">
        <v>1260</v>
      </c>
      <c r="P412" s="33"/>
      <c r="Q412" s="33"/>
    </row>
    <row r="413" spans="1:17">
      <c r="A413" s="12" t="s">
        <v>18</v>
      </c>
      <c r="B413" s="12" t="s">
        <v>352</v>
      </c>
      <c r="C413" s="14" t="s">
        <v>18</v>
      </c>
      <c r="D413" s="12" t="s">
        <v>26</v>
      </c>
      <c r="E413" s="15" t="str">
        <f t="shared" si="60"/>
        <v>030100307</v>
      </c>
      <c r="F413" s="16" t="s">
        <v>1222</v>
      </c>
      <c r="G413" s="16" t="str">
        <f t="shared" si="61"/>
        <v>抽屉010</v>
      </c>
      <c r="H413" t="str">
        <f t="shared" si="62"/>
        <v>行号03</v>
      </c>
      <c r="I413" s="16" t="str">
        <f t="shared" si="63"/>
        <v>序号07</v>
      </c>
      <c r="J413" s="38" t="s">
        <v>372</v>
      </c>
      <c r="K413" s="39"/>
      <c r="L413" s="39"/>
      <c r="M413" s="33"/>
      <c r="N413" s="33"/>
      <c r="O413" s="23" t="s">
        <v>1260</v>
      </c>
      <c r="P413" s="33"/>
      <c r="Q413" s="33"/>
    </row>
    <row r="414" spans="1:17">
      <c r="A414" s="12" t="s">
        <v>18</v>
      </c>
      <c r="B414" s="12" t="s">
        <v>352</v>
      </c>
      <c r="C414" s="14" t="s">
        <v>18</v>
      </c>
      <c r="D414" s="12" t="s">
        <v>28</v>
      </c>
      <c r="E414" s="15" t="str">
        <f t="shared" si="60"/>
        <v>030100308</v>
      </c>
      <c r="F414" s="16" t="s">
        <v>1222</v>
      </c>
      <c r="G414" s="16" t="str">
        <f t="shared" si="61"/>
        <v>抽屉010</v>
      </c>
      <c r="H414" t="str">
        <f t="shared" si="62"/>
        <v>行号03</v>
      </c>
      <c r="I414" s="16" t="str">
        <f t="shared" si="63"/>
        <v>序号08</v>
      </c>
      <c r="J414" s="38" t="s">
        <v>373</v>
      </c>
      <c r="K414" s="39"/>
      <c r="L414" s="39"/>
      <c r="M414" s="33"/>
      <c r="N414" s="33"/>
      <c r="O414" s="23" t="s">
        <v>1260</v>
      </c>
      <c r="P414" s="33"/>
      <c r="Q414" s="33"/>
    </row>
    <row r="415" spans="1:17">
      <c r="A415" s="12" t="s">
        <v>18</v>
      </c>
      <c r="B415" s="12" t="s">
        <v>352</v>
      </c>
      <c r="C415" s="12" t="s">
        <v>20</v>
      </c>
      <c r="D415" s="18" t="s">
        <v>14</v>
      </c>
      <c r="E415" s="15" t="str">
        <f t="shared" si="60"/>
        <v>030100401</v>
      </c>
      <c r="F415" s="16" t="s">
        <v>1222</v>
      </c>
      <c r="G415" s="16" t="str">
        <f t="shared" si="61"/>
        <v>抽屉010</v>
      </c>
      <c r="H415" t="str">
        <f t="shared" si="62"/>
        <v>行号04</v>
      </c>
      <c r="I415" s="16" t="str">
        <f t="shared" si="63"/>
        <v>序号01</v>
      </c>
      <c r="J415" s="38" t="s">
        <v>374</v>
      </c>
      <c r="K415" s="39"/>
      <c r="L415" s="39"/>
      <c r="M415" s="33"/>
      <c r="N415" s="33"/>
      <c r="O415" s="23" t="s">
        <v>1260</v>
      </c>
      <c r="P415" s="33"/>
      <c r="Q415" s="33"/>
    </row>
    <row r="416" spans="1:17">
      <c r="A416" s="12" t="s">
        <v>18</v>
      </c>
      <c r="B416" s="12" t="s">
        <v>352</v>
      </c>
      <c r="C416" s="12" t="s">
        <v>20</v>
      </c>
      <c r="D416" s="18" t="s">
        <v>16</v>
      </c>
      <c r="E416" s="15" t="str">
        <f t="shared" si="60"/>
        <v>030100402</v>
      </c>
      <c r="F416" s="16" t="s">
        <v>1222</v>
      </c>
      <c r="G416" s="16" t="str">
        <f t="shared" si="61"/>
        <v>抽屉010</v>
      </c>
      <c r="H416" t="str">
        <f t="shared" si="62"/>
        <v>行号04</v>
      </c>
      <c r="I416" s="16" t="str">
        <f t="shared" si="63"/>
        <v>序号02</v>
      </c>
      <c r="J416" s="38" t="s">
        <v>375</v>
      </c>
      <c r="K416" s="39"/>
      <c r="L416" s="39"/>
      <c r="M416" s="33"/>
      <c r="N416" s="33"/>
      <c r="O416" s="23" t="s">
        <v>1260</v>
      </c>
      <c r="P416" s="33"/>
      <c r="Q416" s="33"/>
    </row>
    <row r="417" spans="1:17">
      <c r="A417" s="12" t="s">
        <v>18</v>
      </c>
      <c r="B417" s="12" t="s">
        <v>352</v>
      </c>
      <c r="C417" s="12" t="s">
        <v>20</v>
      </c>
      <c r="D417" s="18" t="s">
        <v>18</v>
      </c>
      <c r="E417" s="15" t="str">
        <f t="shared" si="60"/>
        <v>030100403</v>
      </c>
      <c r="F417" s="16" t="s">
        <v>1222</v>
      </c>
      <c r="G417" s="16" t="str">
        <f t="shared" si="61"/>
        <v>抽屉010</v>
      </c>
      <c r="H417" t="str">
        <f t="shared" si="62"/>
        <v>行号04</v>
      </c>
      <c r="I417" s="16" t="str">
        <f t="shared" si="63"/>
        <v>序号03</v>
      </c>
      <c r="J417" s="38" t="s">
        <v>376</v>
      </c>
      <c r="K417" s="39"/>
      <c r="L417" s="39"/>
      <c r="M417" s="33"/>
      <c r="N417" s="33"/>
      <c r="O417" s="23" t="s">
        <v>1260</v>
      </c>
      <c r="P417" s="33"/>
      <c r="Q417" s="33"/>
    </row>
    <row r="418" spans="1:17">
      <c r="A418" s="12" t="s">
        <v>18</v>
      </c>
      <c r="B418" s="12" t="s">
        <v>352</v>
      </c>
      <c r="C418" s="12" t="s">
        <v>20</v>
      </c>
      <c r="D418" s="18" t="s">
        <v>20</v>
      </c>
      <c r="E418" s="15" t="str">
        <f t="shared" si="60"/>
        <v>030100404</v>
      </c>
      <c r="F418" s="16" t="s">
        <v>1222</v>
      </c>
      <c r="G418" s="16" t="str">
        <f t="shared" si="61"/>
        <v>抽屉010</v>
      </c>
      <c r="H418" t="str">
        <f t="shared" si="62"/>
        <v>行号04</v>
      </c>
      <c r="I418" s="16" t="str">
        <f t="shared" si="63"/>
        <v>序号04</v>
      </c>
      <c r="J418" s="38" t="s">
        <v>377</v>
      </c>
      <c r="K418" s="39"/>
      <c r="L418" s="39"/>
      <c r="M418" s="33"/>
      <c r="N418" s="33"/>
      <c r="O418" s="23" t="s">
        <v>1260</v>
      </c>
      <c r="P418" s="33"/>
      <c r="Q418" s="33"/>
    </row>
    <row r="419" spans="1:17">
      <c r="A419" s="12" t="s">
        <v>18</v>
      </c>
      <c r="B419" s="12" t="s">
        <v>352</v>
      </c>
      <c r="C419" s="12" t="s">
        <v>20</v>
      </c>
      <c r="D419" s="18" t="s">
        <v>22</v>
      </c>
      <c r="E419" s="15" t="str">
        <f t="shared" si="60"/>
        <v>030100405</v>
      </c>
      <c r="F419" s="16" t="s">
        <v>1222</v>
      </c>
      <c r="G419" s="16" t="str">
        <f t="shared" si="61"/>
        <v>抽屉010</v>
      </c>
      <c r="H419" t="str">
        <f t="shared" si="62"/>
        <v>行号04</v>
      </c>
      <c r="I419" s="16" t="str">
        <f t="shared" si="63"/>
        <v>序号05</v>
      </c>
      <c r="J419" s="38" t="s">
        <v>378</v>
      </c>
      <c r="K419" s="39"/>
      <c r="L419" s="39"/>
      <c r="M419" s="33"/>
      <c r="N419" s="33"/>
      <c r="O419" s="23" t="s">
        <v>1260</v>
      </c>
      <c r="P419" s="33"/>
      <c r="Q419" s="33"/>
    </row>
    <row r="420" spans="1:17">
      <c r="A420" s="12" t="s">
        <v>18</v>
      </c>
      <c r="B420" s="12" t="s">
        <v>352</v>
      </c>
      <c r="C420" s="12" t="s">
        <v>20</v>
      </c>
      <c r="D420" s="18" t="s">
        <v>24</v>
      </c>
      <c r="E420" s="15" t="str">
        <f t="shared" si="60"/>
        <v>030100406</v>
      </c>
      <c r="F420" s="16" t="s">
        <v>1222</v>
      </c>
      <c r="G420" s="16" t="str">
        <f t="shared" si="61"/>
        <v>抽屉010</v>
      </c>
      <c r="H420" t="str">
        <f t="shared" si="62"/>
        <v>行号04</v>
      </c>
      <c r="I420" s="16" t="str">
        <f t="shared" si="63"/>
        <v>序号06</v>
      </c>
      <c r="J420" s="38" t="s">
        <v>379</v>
      </c>
      <c r="K420" s="39"/>
      <c r="L420" s="39"/>
      <c r="M420" s="33"/>
      <c r="N420" s="33"/>
      <c r="O420" s="23" t="s">
        <v>1260</v>
      </c>
      <c r="P420" s="33"/>
      <c r="Q420" s="33"/>
    </row>
    <row r="421" spans="1:17">
      <c r="A421" s="12" t="s">
        <v>18</v>
      </c>
      <c r="B421" s="12" t="s">
        <v>352</v>
      </c>
      <c r="C421" s="12" t="s">
        <v>20</v>
      </c>
      <c r="D421" s="18" t="s">
        <v>26</v>
      </c>
      <c r="E421" s="15" t="str">
        <f t="shared" si="60"/>
        <v>030100407</v>
      </c>
      <c r="F421" s="16" t="s">
        <v>1222</v>
      </c>
      <c r="G421" s="16" t="str">
        <f t="shared" si="61"/>
        <v>抽屉010</v>
      </c>
      <c r="H421" t="str">
        <f t="shared" si="62"/>
        <v>行号04</v>
      </c>
      <c r="I421" s="16" t="str">
        <f t="shared" si="63"/>
        <v>序号07</v>
      </c>
      <c r="J421" s="38" t="s">
        <v>380</v>
      </c>
      <c r="K421" s="39"/>
      <c r="L421" s="39"/>
      <c r="M421" s="33"/>
      <c r="N421" s="33"/>
      <c r="O421" s="23" t="s">
        <v>1260</v>
      </c>
      <c r="P421" s="33">
        <v>969354</v>
      </c>
      <c r="Q421" s="33"/>
    </row>
    <row r="422" spans="1:17">
      <c r="A422" s="12" t="s">
        <v>18</v>
      </c>
      <c r="B422" s="12" t="s">
        <v>398</v>
      </c>
      <c r="C422" s="12" t="s">
        <v>16</v>
      </c>
      <c r="D422" s="18" t="s">
        <v>20</v>
      </c>
      <c r="E422" s="15" t="str">
        <f t="shared" si="60"/>
        <v>030120204</v>
      </c>
      <c r="F422" s="16" t="s">
        <v>1222</v>
      </c>
      <c r="G422" s="16" t="str">
        <f t="shared" si="61"/>
        <v>抽屉012</v>
      </c>
      <c r="H422" t="str">
        <f t="shared" si="62"/>
        <v>行号02</v>
      </c>
      <c r="I422" s="16" t="str">
        <f t="shared" si="63"/>
        <v>序号04</v>
      </c>
      <c r="J422" s="38" t="s">
        <v>406</v>
      </c>
      <c r="K422" s="39"/>
      <c r="L422" s="39"/>
      <c r="M422" s="33"/>
      <c r="N422" s="33"/>
      <c r="O422" s="23" t="s">
        <v>1237</v>
      </c>
      <c r="P422" s="33"/>
      <c r="Q422" s="33"/>
    </row>
    <row r="423" spans="1:17">
      <c r="A423" s="12" t="s">
        <v>18</v>
      </c>
      <c r="B423" s="12" t="s">
        <v>398</v>
      </c>
      <c r="C423" s="14" t="s">
        <v>18</v>
      </c>
      <c r="D423" s="12" t="s">
        <v>18</v>
      </c>
      <c r="E423" s="15" t="str">
        <f t="shared" si="60"/>
        <v>030120303</v>
      </c>
      <c r="F423" s="16" t="s">
        <v>1222</v>
      </c>
      <c r="G423" s="16" t="str">
        <f t="shared" si="61"/>
        <v>抽屉012</v>
      </c>
      <c r="H423" t="str">
        <f t="shared" si="62"/>
        <v>行号03</v>
      </c>
      <c r="I423" s="16" t="str">
        <f t="shared" si="63"/>
        <v>序号03</v>
      </c>
      <c r="J423" s="38" t="s">
        <v>409</v>
      </c>
      <c r="K423" s="39"/>
      <c r="L423" s="39"/>
      <c r="M423" s="33"/>
      <c r="N423" s="33"/>
      <c r="O423" s="23" t="s">
        <v>1237</v>
      </c>
      <c r="P423" s="33"/>
      <c r="Q423" s="33"/>
    </row>
    <row r="424" spans="1:17">
      <c r="D424" s="21"/>
      <c r="E424"/>
      <c r="P424" s="33"/>
      <c r="Q424" s="33"/>
    </row>
    <row r="425" spans="1:17">
      <c r="D425" s="21"/>
      <c r="E425"/>
    </row>
    <row r="426" spans="1:17">
      <c r="D426" s="21"/>
      <c r="E426"/>
    </row>
    <row r="427" spans="1:17">
      <c r="D427" s="21"/>
      <c r="E427"/>
    </row>
    <row r="428" spans="1:17">
      <c r="D428" s="21"/>
      <c r="E428"/>
    </row>
    <row r="429" spans="1:17">
      <c r="D429" s="21"/>
      <c r="E429"/>
    </row>
    <row r="430" spans="1:17">
      <c r="D430" s="21"/>
      <c r="E430"/>
    </row>
    <row r="431" spans="1:17">
      <c r="D431" s="21"/>
      <c r="E431"/>
    </row>
    <row r="432" spans="1:17">
      <c r="D432" s="21"/>
      <c r="E432"/>
    </row>
    <row r="433" spans="4:5">
      <c r="D433" s="21"/>
      <c r="E433"/>
    </row>
  </sheetData>
  <autoFilter ref="A1:O423"/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9"/>
  <sheetViews>
    <sheetView topLeftCell="G1" workbookViewId="0">
      <selection activeCell="O1" sqref="O1"/>
    </sheetView>
  </sheetViews>
  <sheetFormatPr defaultColWidth="9" defaultRowHeight="18"/>
  <cols>
    <col min="3" max="3" width="12" customWidth="1"/>
    <col min="5" max="5" width="17.75" style="2" customWidth="1"/>
    <col min="6" max="6" width="14.5" customWidth="1"/>
    <col min="7" max="7" width="16.125" customWidth="1"/>
    <col min="8" max="8" width="23.875" customWidth="1"/>
    <col min="9" max="9" width="13.625" customWidth="1"/>
    <col min="10" max="10" width="15.75" style="22" customWidth="1"/>
    <col min="11" max="11" width="14.75" customWidth="1"/>
    <col min="12" max="14" width="12.625" customWidth="1"/>
    <col min="15" max="15" width="13.125" customWidth="1"/>
    <col min="16" max="51" width="9" style="3"/>
  </cols>
  <sheetData>
    <row r="1" spans="1:51" s="1" customFormat="1" ht="28.5" customHeight="1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1312</v>
      </c>
      <c r="P1" s="28" t="s">
        <v>1229</v>
      </c>
      <c r="Q1" s="28" t="s">
        <v>1230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</row>
    <row r="2" spans="1:51" s="1" customFormat="1" ht="15.95" customHeight="1">
      <c r="A2" s="8" t="s">
        <v>20</v>
      </c>
      <c r="B2" s="9" t="s">
        <v>14</v>
      </c>
      <c r="C2" s="10" t="s">
        <v>14</v>
      </c>
      <c r="D2" s="8" t="s">
        <v>14</v>
      </c>
      <c r="E2" s="7" t="str">
        <f t="shared" ref="E2:E65" si="0">A2&amp;B2&amp;C2&amp;D2</f>
        <v>04010101</v>
      </c>
      <c r="F2" s="1" t="s">
        <v>278</v>
      </c>
      <c r="G2" s="1" t="str">
        <f t="shared" ref="G2:G65" si="1">"抽屉"&amp;B2</f>
        <v>抽屉01</v>
      </c>
      <c r="H2" t="str">
        <f t="shared" ref="H2:H65" si="2">"行号"&amp;C2</f>
        <v>行号01</v>
      </c>
      <c r="I2" s="1" t="str">
        <f t="shared" ref="I2:I65" si="3">"序号"&amp;D2</f>
        <v>序号01</v>
      </c>
      <c r="J2" s="1" t="s">
        <v>15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</row>
    <row r="3" spans="1:51" ht="15.95" customHeight="1">
      <c r="A3" s="8" t="s">
        <v>20</v>
      </c>
      <c r="B3" s="9" t="s">
        <v>14</v>
      </c>
      <c r="C3" s="10" t="s">
        <v>14</v>
      </c>
      <c r="D3" s="8" t="s">
        <v>16</v>
      </c>
      <c r="E3" s="7" t="str">
        <f t="shared" si="0"/>
        <v>04010102</v>
      </c>
      <c r="F3" s="1" t="s">
        <v>278</v>
      </c>
      <c r="G3" s="1" t="str">
        <f t="shared" si="1"/>
        <v>抽屉01</v>
      </c>
      <c r="H3" t="str">
        <f t="shared" si="2"/>
        <v>行号01</v>
      </c>
      <c r="I3" s="1" t="str">
        <f t="shared" si="3"/>
        <v>序号02</v>
      </c>
      <c r="J3" s="22" t="s">
        <v>17</v>
      </c>
      <c r="K3" s="1"/>
      <c r="L3" s="1"/>
      <c r="M3" s="1"/>
      <c r="N3" s="1"/>
    </row>
    <row r="4" spans="1:51" ht="15.95" customHeight="1">
      <c r="A4" s="8" t="s">
        <v>20</v>
      </c>
      <c r="B4" s="9" t="s">
        <v>14</v>
      </c>
      <c r="C4" s="10" t="s">
        <v>14</v>
      </c>
      <c r="D4" s="8" t="s">
        <v>18</v>
      </c>
      <c r="E4" s="7" t="str">
        <f t="shared" si="0"/>
        <v>04010103</v>
      </c>
      <c r="F4" s="1" t="s">
        <v>278</v>
      </c>
      <c r="G4" s="1" t="str">
        <f t="shared" si="1"/>
        <v>抽屉01</v>
      </c>
      <c r="H4" t="str">
        <f t="shared" si="2"/>
        <v>行号01</v>
      </c>
      <c r="I4" s="1" t="str">
        <f t="shared" si="3"/>
        <v>序号03</v>
      </c>
      <c r="J4" s="22" t="s">
        <v>19</v>
      </c>
      <c r="K4" s="1"/>
      <c r="L4" s="1"/>
      <c r="M4" s="1"/>
      <c r="N4" s="1"/>
    </row>
    <row r="5" spans="1:51" ht="15.95" customHeight="1">
      <c r="A5" s="8" t="s">
        <v>20</v>
      </c>
      <c r="B5" s="9" t="s">
        <v>14</v>
      </c>
      <c r="C5" s="10" t="s">
        <v>14</v>
      </c>
      <c r="D5" s="8" t="s">
        <v>20</v>
      </c>
      <c r="E5" s="7" t="str">
        <f t="shared" si="0"/>
        <v>04010104</v>
      </c>
      <c r="F5" s="1" t="s">
        <v>278</v>
      </c>
      <c r="G5" s="1" t="str">
        <f t="shared" si="1"/>
        <v>抽屉01</v>
      </c>
      <c r="H5" t="str">
        <f t="shared" si="2"/>
        <v>行号01</v>
      </c>
      <c r="I5" s="1" t="str">
        <f t="shared" si="3"/>
        <v>序号04</v>
      </c>
      <c r="J5" s="22" t="s">
        <v>21</v>
      </c>
      <c r="K5" s="1"/>
      <c r="L5" s="1"/>
      <c r="M5" s="1"/>
      <c r="N5" s="1"/>
    </row>
    <row r="6" spans="1:51" ht="15.95" customHeight="1">
      <c r="A6" s="8" t="s">
        <v>20</v>
      </c>
      <c r="B6" s="9" t="s">
        <v>14</v>
      </c>
      <c r="C6" s="10" t="s">
        <v>14</v>
      </c>
      <c r="D6" s="8" t="s">
        <v>22</v>
      </c>
      <c r="E6" s="7" t="str">
        <f t="shared" si="0"/>
        <v>04010105</v>
      </c>
      <c r="F6" s="1" t="s">
        <v>278</v>
      </c>
      <c r="G6" s="1" t="str">
        <f t="shared" si="1"/>
        <v>抽屉01</v>
      </c>
      <c r="H6" t="str">
        <f t="shared" si="2"/>
        <v>行号01</v>
      </c>
      <c r="I6" s="1" t="str">
        <f t="shared" si="3"/>
        <v>序号05</v>
      </c>
      <c r="J6" s="22" t="s">
        <v>23</v>
      </c>
      <c r="K6" s="1"/>
      <c r="L6" s="1"/>
      <c r="M6" s="1"/>
      <c r="N6" s="1"/>
    </row>
    <row r="7" spans="1:51" ht="15.95" customHeight="1">
      <c r="A7" s="8" t="s">
        <v>20</v>
      </c>
      <c r="B7" s="9" t="s">
        <v>14</v>
      </c>
      <c r="C7" s="10" t="s">
        <v>14</v>
      </c>
      <c r="D7" s="8" t="s">
        <v>24</v>
      </c>
      <c r="E7" s="7" t="str">
        <f t="shared" si="0"/>
        <v>04010106</v>
      </c>
      <c r="F7" s="1" t="s">
        <v>278</v>
      </c>
      <c r="G7" s="1" t="str">
        <f t="shared" si="1"/>
        <v>抽屉01</v>
      </c>
      <c r="H7" t="str">
        <f t="shared" si="2"/>
        <v>行号01</v>
      </c>
      <c r="I7" s="1" t="str">
        <f t="shared" si="3"/>
        <v>序号06</v>
      </c>
      <c r="J7" s="22" t="s">
        <v>25</v>
      </c>
      <c r="K7" s="1"/>
      <c r="L7" s="1"/>
      <c r="M7" s="1"/>
      <c r="N7" s="1"/>
    </row>
    <row r="8" spans="1:51" ht="15.95" customHeight="1">
      <c r="A8" s="8" t="s">
        <v>20</v>
      </c>
      <c r="B8" s="9" t="s">
        <v>14</v>
      </c>
      <c r="C8" s="10" t="s">
        <v>14</v>
      </c>
      <c r="D8" s="8" t="s">
        <v>26</v>
      </c>
      <c r="E8" s="7" t="str">
        <f t="shared" si="0"/>
        <v>04010107</v>
      </c>
      <c r="F8" s="1" t="s">
        <v>278</v>
      </c>
      <c r="G8" s="1" t="str">
        <f t="shared" si="1"/>
        <v>抽屉01</v>
      </c>
      <c r="H8" t="str">
        <f t="shared" si="2"/>
        <v>行号01</v>
      </c>
      <c r="I8" s="1" t="str">
        <f t="shared" si="3"/>
        <v>序号07</v>
      </c>
      <c r="J8" s="22" t="s">
        <v>27</v>
      </c>
      <c r="K8" s="1"/>
      <c r="L8" s="1"/>
      <c r="M8" s="1"/>
      <c r="N8" s="1"/>
    </row>
    <row r="9" spans="1:51" ht="15.95" customHeight="1">
      <c r="A9" s="8" t="s">
        <v>20</v>
      </c>
      <c r="B9" s="9" t="s">
        <v>14</v>
      </c>
      <c r="C9" s="10" t="s">
        <v>14</v>
      </c>
      <c r="D9" s="8" t="s">
        <v>28</v>
      </c>
      <c r="E9" s="7" t="str">
        <f t="shared" si="0"/>
        <v>04010108</v>
      </c>
      <c r="F9" s="1" t="s">
        <v>278</v>
      </c>
      <c r="G9" s="1" t="str">
        <f t="shared" si="1"/>
        <v>抽屉01</v>
      </c>
      <c r="H9" t="str">
        <f t="shared" si="2"/>
        <v>行号01</v>
      </c>
      <c r="I9" s="1" t="str">
        <f t="shared" si="3"/>
        <v>序号08</v>
      </c>
      <c r="J9" s="22" t="s">
        <v>29</v>
      </c>
      <c r="K9" s="1"/>
      <c r="L9" s="1"/>
      <c r="M9" s="1"/>
      <c r="N9" s="1"/>
    </row>
    <row r="10" spans="1:51" ht="15.95" customHeight="1">
      <c r="A10" s="8" t="s">
        <v>20</v>
      </c>
      <c r="B10" s="9" t="s">
        <v>14</v>
      </c>
      <c r="C10" s="8" t="s">
        <v>16</v>
      </c>
      <c r="D10" s="11" t="s">
        <v>14</v>
      </c>
      <c r="E10" s="7" t="str">
        <f t="shared" si="0"/>
        <v>04010201</v>
      </c>
      <c r="F10" s="1" t="s">
        <v>278</v>
      </c>
      <c r="G10" s="1" t="str">
        <f t="shared" si="1"/>
        <v>抽屉01</v>
      </c>
      <c r="H10" t="str">
        <f t="shared" si="2"/>
        <v>行号02</v>
      </c>
      <c r="I10" s="1" t="str">
        <f t="shared" si="3"/>
        <v>序号01</v>
      </c>
      <c r="J10" s="22" t="s">
        <v>30</v>
      </c>
      <c r="K10" s="1"/>
      <c r="L10" s="1"/>
      <c r="M10" s="1"/>
      <c r="N10" s="1"/>
    </row>
    <row r="11" spans="1:51" ht="15.95" customHeight="1">
      <c r="A11" s="8" t="s">
        <v>20</v>
      </c>
      <c r="B11" s="9" t="s">
        <v>14</v>
      </c>
      <c r="C11" s="8" t="s">
        <v>16</v>
      </c>
      <c r="D11" s="11" t="s">
        <v>16</v>
      </c>
      <c r="E11" s="7" t="str">
        <f t="shared" si="0"/>
        <v>04010202</v>
      </c>
      <c r="F11" s="1" t="s">
        <v>278</v>
      </c>
      <c r="G11" s="1" t="str">
        <f t="shared" si="1"/>
        <v>抽屉01</v>
      </c>
      <c r="H11" t="str">
        <f t="shared" si="2"/>
        <v>行号02</v>
      </c>
      <c r="I11" s="1" t="str">
        <f t="shared" si="3"/>
        <v>序号02</v>
      </c>
      <c r="J11" s="22" t="s">
        <v>31</v>
      </c>
      <c r="K11" s="1"/>
      <c r="L11" s="1"/>
      <c r="M11" s="1"/>
      <c r="N11" s="1"/>
    </row>
    <row r="12" spans="1:51" ht="15.95" customHeight="1">
      <c r="A12" s="8" t="s">
        <v>20</v>
      </c>
      <c r="B12" s="9" t="s">
        <v>14</v>
      </c>
      <c r="C12" s="8" t="s">
        <v>16</v>
      </c>
      <c r="D12" s="11" t="s">
        <v>18</v>
      </c>
      <c r="E12" s="7" t="str">
        <f t="shared" si="0"/>
        <v>04010203</v>
      </c>
      <c r="F12" s="1" t="s">
        <v>278</v>
      </c>
      <c r="G12" s="1" t="str">
        <f t="shared" si="1"/>
        <v>抽屉01</v>
      </c>
      <c r="H12" t="str">
        <f t="shared" si="2"/>
        <v>行号02</v>
      </c>
      <c r="I12" s="1" t="str">
        <f t="shared" si="3"/>
        <v>序号03</v>
      </c>
      <c r="J12" s="22" t="s">
        <v>32</v>
      </c>
      <c r="K12" s="1"/>
      <c r="L12" s="1"/>
      <c r="M12" s="1"/>
      <c r="N12" s="1"/>
    </row>
    <row r="13" spans="1:51" ht="15.95" customHeight="1">
      <c r="A13" s="8" t="s">
        <v>20</v>
      </c>
      <c r="B13" s="9" t="s">
        <v>14</v>
      </c>
      <c r="C13" s="8" t="s">
        <v>16</v>
      </c>
      <c r="D13" s="11" t="s">
        <v>20</v>
      </c>
      <c r="E13" s="7" t="str">
        <f t="shared" si="0"/>
        <v>04010204</v>
      </c>
      <c r="F13" s="1" t="s">
        <v>278</v>
      </c>
      <c r="G13" s="1" t="str">
        <f t="shared" si="1"/>
        <v>抽屉01</v>
      </c>
      <c r="H13" t="str">
        <f t="shared" si="2"/>
        <v>行号02</v>
      </c>
      <c r="I13" s="1" t="str">
        <f t="shared" si="3"/>
        <v>序号04</v>
      </c>
      <c r="J13" s="22" t="s">
        <v>33</v>
      </c>
      <c r="K13" s="1"/>
      <c r="L13" s="1"/>
      <c r="M13" s="1"/>
      <c r="N13" s="1"/>
    </row>
    <row r="14" spans="1:51" ht="15.95" customHeight="1">
      <c r="A14" s="8" t="s">
        <v>20</v>
      </c>
      <c r="B14" s="9" t="s">
        <v>14</v>
      </c>
      <c r="C14" s="8" t="s">
        <v>16</v>
      </c>
      <c r="D14" s="11" t="s">
        <v>22</v>
      </c>
      <c r="E14" s="7" t="str">
        <f t="shared" si="0"/>
        <v>04010205</v>
      </c>
      <c r="F14" s="1" t="s">
        <v>278</v>
      </c>
      <c r="G14" s="1" t="str">
        <f t="shared" si="1"/>
        <v>抽屉01</v>
      </c>
      <c r="H14" t="str">
        <f t="shared" si="2"/>
        <v>行号02</v>
      </c>
      <c r="I14" s="1" t="str">
        <f t="shared" si="3"/>
        <v>序号05</v>
      </c>
      <c r="J14" s="22" t="s">
        <v>34</v>
      </c>
      <c r="K14" s="1"/>
      <c r="L14" s="1"/>
      <c r="M14" s="1"/>
      <c r="N14" s="1"/>
    </row>
    <row r="15" spans="1:51" ht="15.95" customHeight="1">
      <c r="A15" s="8" t="s">
        <v>20</v>
      </c>
      <c r="B15" s="9" t="s">
        <v>14</v>
      </c>
      <c r="C15" s="8" t="s">
        <v>16</v>
      </c>
      <c r="D15" s="11" t="s">
        <v>24</v>
      </c>
      <c r="E15" s="7" t="str">
        <f t="shared" si="0"/>
        <v>04010206</v>
      </c>
      <c r="F15" s="1" t="s">
        <v>278</v>
      </c>
      <c r="G15" s="1" t="str">
        <f t="shared" si="1"/>
        <v>抽屉01</v>
      </c>
      <c r="H15" t="str">
        <f t="shared" si="2"/>
        <v>行号02</v>
      </c>
      <c r="I15" s="1" t="str">
        <f t="shared" si="3"/>
        <v>序号06</v>
      </c>
      <c r="J15" s="22" t="s">
        <v>35</v>
      </c>
      <c r="K15" s="1"/>
      <c r="L15" s="1"/>
      <c r="M15" s="1"/>
      <c r="N15" s="1"/>
    </row>
    <row r="16" spans="1:51" ht="15.95" customHeight="1">
      <c r="A16" s="8" t="s">
        <v>20</v>
      </c>
      <c r="B16" s="9" t="s">
        <v>14</v>
      </c>
      <c r="C16" s="8" t="s">
        <v>16</v>
      </c>
      <c r="D16" s="11" t="s">
        <v>26</v>
      </c>
      <c r="E16" s="7" t="str">
        <f t="shared" si="0"/>
        <v>04010207</v>
      </c>
      <c r="F16" s="1" t="s">
        <v>278</v>
      </c>
      <c r="G16" s="1" t="str">
        <f t="shared" si="1"/>
        <v>抽屉01</v>
      </c>
      <c r="H16" t="str">
        <f t="shared" si="2"/>
        <v>行号02</v>
      </c>
      <c r="I16" s="1" t="str">
        <f t="shared" si="3"/>
        <v>序号07</v>
      </c>
      <c r="J16" s="22" t="s">
        <v>36</v>
      </c>
      <c r="K16" s="1"/>
      <c r="L16" s="1"/>
      <c r="M16" s="1"/>
      <c r="N16" s="1"/>
    </row>
    <row r="17" spans="1:14" ht="15.95" customHeight="1">
      <c r="A17" s="8" t="s">
        <v>20</v>
      </c>
      <c r="B17" s="9" t="s">
        <v>14</v>
      </c>
      <c r="C17" s="8" t="s">
        <v>16</v>
      </c>
      <c r="D17" s="11" t="s">
        <v>28</v>
      </c>
      <c r="E17" s="7" t="str">
        <f t="shared" si="0"/>
        <v>04010208</v>
      </c>
      <c r="F17" s="1" t="s">
        <v>278</v>
      </c>
      <c r="G17" s="1" t="str">
        <f t="shared" si="1"/>
        <v>抽屉01</v>
      </c>
      <c r="H17" t="str">
        <f t="shared" si="2"/>
        <v>行号02</v>
      </c>
      <c r="I17" s="1" t="str">
        <f t="shared" si="3"/>
        <v>序号08</v>
      </c>
      <c r="J17" s="22" t="s">
        <v>37</v>
      </c>
      <c r="K17" s="1"/>
      <c r="L17" s="1"/>
      <c r="M17" s="1"/>
      <c r="N17" s="1"/>
    </row>
    <row r="18" spans="1:14" ht="15.95" customHeight="1">
      <c r="A18" s="8" t="s">
        <v>20</v>
      </c>
      <c r="B18" s="9" t="s">
        <v>14</v>
      </c>
      <c r="C18" s="10" t="s">
        <v>18</v>
      </c>
      <c r="D18" s="8" t="s">
        <v>14</v>
      </c>
      <c r="E18" s="7" t="str">
        <f t="shared" si="0"/>
        <v>04010301</v>
      </c>
      <c r="F18" s="1" t="s">
        <v>278</v>
      </c>
      <c r="G18" s="1" t="str">
        <f t="shared" si="1"/>
        <v>抽屉01</v>
      </c>
      <c r="H18" t="str">
        <f t="shared" si="2"/>
        <v>行号03</v>
      </c>
      <c r="I18" s="1" t="str">
        <f t="shared" si="3"/>
        <v>序号01</v>
      </c>
      <c r="J18" s="22" t="s">
        <v>38</v>
      </c>
      <c r="K18" s="1"/>
      <c r="L18" s="1"/>
      <c r="M18" s="1"/>
      <c r="N18" s="1"/>
    </row>
    <row r="19" spans="1:14" ht="15.95" customHeight="1">
      <c r="A19" s="8" t="s">
        <v>20</v>
      </c>
      <c r="B19" s="9" t="s">
        <v>14</v>
      </c>
      <c r="C19" s="10" t="s">
        <v>18</v>
      </c>
      <c r="D19" s="8" t="s">
        <v>16</v>
      </c>
      <c r="E19" s="7" t="str">
        <f t="shared" si="0"/>
        <v>04010302</v>
      </c>
      <c r="F19" s="1" t="s">
        <v>278</v>
      </c>
      <c r="G19" s="1" t="str">
        <f t="shared" si="1"/>
        <v>抽屉01</v>
      </c>
      <c r="H19" t="str">
        <f t="shared" si="2"/>
        <v>行号03</v>
      </c>
      <c r="I19" s="1" t="str">
        <f t="shared" si="3"/>
        <v>序号02</v>
      </c>
      <c r="J19" s="22" t="s">
        <v>39</v>
      </c>
      <c r="K19" s="1"/>
      <c r="L19" s="1"/>
      <c r="M19" s="1"/>
      <c r="N19" s="1"/>
    </row>
    <row r="20" spans="1:14" ht="15.95" customHeight="1">
      <c r="A20" s="8" t="s">
        <v>20</v>
      </c>
      <c r="B20" s="9" t="s">
        <v>14</v>
      </c>
      <c r="C20" s="10" t="s">
        <v>18</v>
      </c>
      <c r="D20" s="8" t="s">
        <v>18</v>
      </c>
      <c r="E20" s="7" t="str">
        <f t="shared" si="0"/>
        <v>04010303</v>
      </c>
      <c r="F20" s="1" t="s">
        <v>278</v>
      </c>
      <c r="G20" s="1" t="str">
        <f t="shared" si="1"/>
        <v>抽屉01</v>
      </c>
      <c r="H20" t="str">
        <f t="shared" si="2"/>
        <v>行号03</v>
      </c>
      <c r="I20" s="1" t="str">
        <f t="shared" si="3"/>
        <v>序号03</v>
      </c>
      <c r="J20" s="22" t="s">
        <v>40</v>
      </c>
      <c r="K20" s="1"/>
      <c r="L20" s="1"/>
      <c r="M20" s="1"/>
      <c r="N20" s="1"/>
    </row>
    <row r="21" spans="1:14" ht="15.95" customHeight="1">
      <c r="A21" s="8" t="s">
        <v>20</v>
      </c>
      <c r="B21" s="9" t="s">
        <v>14</v>
      </c>
      <c r="C21" s="10" t="s">
        <v>18</v>
      </c>
      <c r="D21" s="8" t="s">
        <v>20</v>
      </c>
      <c r="E21" s="7" t="str">
        <f t="shared" si="0"/>
        <v>04010304</v>
      </c>
      <c r="F21" s="1" t="s">
        <v>278</v>
      </c>
      <c r="G21" s="1" t="str">
        <f t="shared" si="1"/>
        <v>抽屉01</v>
      </c>
      <c r="H21" t="str">
        <f t="shared" si="2"/>
        <v>行号03</v>
      </c>
      <c r="I21" s="1" t="str">
        <f t="shared" si="3"/>
        <v>序号04</v>
      </c>
      <c r="J21" s="22" t="s">
        <v>41</v>
      </c>
      <c r="K21" s="1"/>
      <c r="L21" s="1"/>
      <c r="M21" s="1"/>
      <c r="N21" s="1"/>
    </row>
    <row r="22" spans="1:14" ht="15.95" customHeight="1">
      <c r="A22" s="8" t="s">
        <v>20</v>
      </c>
      <c r="B22" s="9" t="s">
        <v>14</v>
      </c>
      <c r="C22" s="10" t="s">
        <v>18</v>
      </c>
      <c r="D22" s="8" t="s">
        <v>22</v>
      </c>
      <c r="E22" s="7" t="str">
        <f t="shared" si="0"/>
        <v>04010305</v>
      </c>
      <c r="F22" s="1" t="s">
        <v>278</v>
      </c>
      <c r="G22" s="1" t="str">
        <f t="shared" si="1"/>
        <v>抽屉01</v>
      </c>
      <c r="H22" t="str">
        <f t="shared" si="2"/>
        <v>行号03</v>
      </c>
      <c r="I22" s="1" t="str">
        <f t="shared" si="3"/>
        <v>序号05</v>
      </c>
      <c r="J22" s="22" t="s">
        <v>42</v>
      </c>
      <c r="K22" s="1"/>
      <c r="L22" s="1"/>
      <c r="M22" s="1"/>
      <c r="N22" s="1"/>
    </row>
    <row r="23" spans="1:14" ht="15.95" customHeight="1">
      <c r="A23" s="8" t="s">
        <v>20</v>
      </c>
      <c r="B23" s="9" t="s">
        <v>14</v>
      </c>
      <c r="C23" s="10" t="s">
        <v>18</v>
      </c>
      <c r="D23" s="8" t="s">
        <v>24</v>
      </c>
      <c r="E23" s="7" t="str">
        <f t="shared" si="0"/>
        <v>04010306</v>
      </c>
      <c r="F23" s="1" t="s">
        <v>278</v>
      </c>
      <c r="G23" s="1" t="str">
        <f t="shared" si="1"/>
        <v>抽屉01</v>
      </c>
      <c r="H23" t="str">
        <f t="shared" si="2"/>
        <v>行号03</v>
      </c>
      <c r="I23" s="1" t="str">
        <f t="shared" si="3"/>
        <v>序号06</v>
      </c>
      <c r="J23" s="22" t="s">
        <v>43</v>
      </c>
      <c r="K23" s="1"/>
      <c r="L23" s="1"/>
      <c r="M23" s="1"/>
      <c r="N23" s="1"/>
    </row>
    <row r="24" spans="1:14" ht="15.95" customHeight="1">
      <c r="A24" s="8" t="s">
        <v>20</v>
      </c>
      <c r="B24" s="9" t="s">
        <v>14</v>
      </c>
      <c r="C24" s="10" t="s">
        <v>18</v>
      </c>
      <c r="D24" s="8" t="s">
        <v>26</v>
      </c>
      <c r="E24" s="7" t="str">
        <f t="shared" si="0"/>
        <v>04010307</v>
      </c>
      <c r="F24" s="1" t="s">
        <v>278</v>
      </c>
      <c r="G24" s="1" t="str">
        <f t="shared" si="1"/>
        <v>抽屉01</v>
      </c>
      <c r="H24" t="str">
        <f t="shared" si="2"/>
        <v>行号03</v>
      </c>
      <c r="I24" s="1" t="str">
        <f t="shared" si="3"/>
        <v>序号07</v>
      </c>
      <c r="J24" s="22" t="s">
        <v>44</v>
      </c>
      <c r="K24" s="1"/>
      <c r="L24" s="1"/>
      <c r="M24" s="1"/>
      <c r="N24" s="1"/>
    </row>
    <row r="25" spans="1:14" ht="15.95" customHeight="1">
      <c r="A25" s="8" t="s">
        <v>20</v>
      </c>
      <c r="B25" s="9" t="s">
        <v>14</v>
      </c>
      <c r="C25" s="10" t="s">
        <v>18</v>
      </c>
      <c r="D25" s="8" t="s">
        <v>28</v>
      </c>
      <c r="E25" s="7" t="str">
        <f t="shared" si="0"/>
        <v>04010308</v>
      </c>
      <c r="F25" s="1" t="s">
        <v>278</v>
      </c>
      <c r="G25" s="1" t="str">
        <f t="shared" si="1"/>
        <v>抽屉01</v>
      </c>
      <c r="H25" t="str">
        <f t="shared" si="2"/>
        <v>行号03</v>
      </c>
      <c r="I25" s="1" t="str">
        <f t="shared" si="3"/>
        <v>序号08</v>
      </c>
      <c r="J25" s="22" t="s">
        <v>45</v>
      </c>
      <c r="K25" s="1"/>
      <c r="L25" s="1"/>
      <c r="M25" s="1"/>
      <c r="N25" s="1"/>
    </row>
    <row r="26" spans="1:14" ht="15.95" customHeight="1">
      <c r="A26" s="8" t="s">
        <v>20</v>
      </c>
      <c r="B26" s="9" t="s">
        <v>14</v>
      </c>
      <c r="C26" s="8" t="s">
        <v>20</v>
      </c>
      <c r="D26" s="11" t="s">
        <v>14</v>
      </c>
      <c r="E26" s="7" t="str">
        <f t="shared" si="0"/>
        <v>04010401</v>
      </c>
      <c r="F26" s="1" t="s">
        <v>278</v>
      </c>
      <c r="G26" s="1" t="str">
        <f t="shared" si="1"/>
        <v>抽屉01</v>
      </c>
      <c r="H26" t="str">
        <f t="shared" si="2"/>
        <v>行号04</v>
      </c>
      <c r="I26" s="1" t="str">
        <f t="shared" si="3"/>
        <v>序号01</v>
      </c>
      <c r="J26" s="22" t="s">
        <v>46</v>
      </c>
      <c r="K26" s="1"/>
      <c r="L26" s="1"/>
      <c r="M26" s="1"/>
      <c r="N26" s="1"/>
    </row>
    <row r="27" spans="1:14" ht="15.95" customHeight="1">
      <c r="A27" s="8" t="s">
        <v>20</v>
      </c>
      <c r="B27" s="9" t="s">
        <v>14</v>
      </c>
      <c r="C27" s="8" t="s">
        <v>20</v>
      </c>
      <c r="D27" s="11" t="s">
        <v>16</v>
      </c>
      <c r="E27" s="7" t="str">
        <f t="shared" si="0"/>
        <v>04010402</v>
      </c>
      <c r="F27" s="1" t="s">
        <v>278</v>
      </c>
      <c r="G27" s="1" t="str">
        <f t="shared" si="1"/>
        <v>抽屉01</v>
      </c>
      <c r="H27" t="str">
        <f t="shared" si="2"/>
        <v>行号04</v>
      </c>
      <c r="I27" s="1" t="str">
        <f t="shared" si="3"/>
        <v>序号02</v>
      </c>
      <c r="J27" s="22" t="s">
        <v>47</v>
      </c>
      <c r="K27" s="1"/>
      <c r="L27" s="1"/>
      <c r="M27" s="1"/>
      <c r="N27" s="1"/>
    </row>
    <row r="28" spans="1:14" ht="15.95" customHeight="1">
      <c r="A28" s="8" t="s">
        <v>20</v>
      </c>
      <c r="B28" s="9" t="s">
        <v>14</v>
      </c>
      <c r="C28" s="8" t="s">
        <v>20</v>
      </c>
      <c r="D28" s="11" t="s">
        <v>18</v>
      </c>
      <c r="E28" s="7" t="str">
        <f t="shared" si="0"/>
        <v>04010403</v>
      </c>
      <c r="F28" s="1" t="s">
        <v>278</v>
      </c>
      <c r="G28" s="1" t="str">
        <f t="shared" si="1"/>
        <v>抽屉01</v>
      </c>
      <c r="H28" t="str">
        <f t="shared" si="2"/>
        <v>行号04</v>
      </c>
      <c r="I28" s="1" t="str">
        <f t="shared" si="3"/>
        <v>序号03</v>
      </c>
      <c r="J28" s="22" t="s">
        <v>48</v>
      </c>
      <c r="K28" s="1"/>
      <c r="L28" s="1"/>
      <c r="M28" s="1"/>
      <c r="N28" s="1"/>
    </row>
    <row r="29" spans="1:14" ht="15.95" customHeight="1">
      <c r="A29" s="8" t="s">
        <v>20</v>
      </c>
      <c r="B29" s="9" t="s">
        <v>14</v>
      </c>
      <c r="C29" s="8" t="s">
        <v>20</v>
      </c>
      <c r="D29" s="11" t="s">
        <v>20</v>
      </c>
      <c r="E29" s="7" t="str">
        <f t="shared" si="0"/>
        <v>04010404</v>
      </c>
      <c r="F29" s="1" t="s">
        <v>278</v>
      </c>
      <c r="G29" s="1" t="str">
        <f t="shared" si="1"/>
        <v>抽屉01</v>
      </c>
      <c r="H29" t="str">
        <f t="shared" si="2"/>
        <v>行号04</v>
      </c>
      <c r="I29" s="1" t="str">
        <f t="shared" si="3"/>
        <v>序号04</v>
      </c>
      <c r="J29" s="22" t="s">
        <v>49</v>
      </c>
      <c r="K29" s="1"/>
      <c r="L29" s="1"/>
      <c r="M29" s="1"/>
      <c r="N29" s="1"/>
    </row>
    <row r="30" spans="1:14" ht="15.95" customHeight="1">
      <c r="A30" s="8" t="s">
        <v>20</v>
      </c>
      <c r="B30" s="9" t="s">
        <v>14</v>
      </c>
      <c r="C30" s="8" t="s">
        <v>20</v>
      </c>
      <c r="D30" s="11" t="s">
        <v>22</v>
      </c>
      <c r="E30" s="7" t="str">
        <f t="shared" si="0"/>
        <v>04010405</v>
      </c>
      <c r="F30" s="1" t="s">
        <v>278</v>
      </c>
      <c r="G30" s="1" t="str">
        <f t="shared" si="1"/>
        <v>抽屉01</v>
      </c>
      <c r="H30" t="str">
        <f t="shared" si="2"/>
        <v>行号04</v>
      </c>
      <c r="I30" s="1" t="str">
        <f t="shared" si="3"/>
        <v>序号05</v>
      </c>
      <c r="J30" s="22" t="s">
        <v>50</v>
      </c>
      <c r="K30" s="1"/>
      <c r="L30" s="1"/>
      <c r="M30" s="1"/>
      <c r="N30" s="1"/>
    </row>
    <row r="31" spans="1:14" ht="15.95" customHeight="1">
      <c r="A31" s="8" t="s">
        <v>20</v>
      </c>
      <c r="B31" s="9" t="s">
        <v>14</v>
      </c>
      <c r="C31" s="8" t="s">
        <v>20</v>
      </c>
      <c r="D31" s="11" t="s">
        <v>24</v>
      </c>
      <c r="E31" s="7" t="str">
        <f t="shared" si="0"/>
        <v>04010406</v>
      </c>
      <c r="F31" s="1" t="s">
        <v>278</v>
      </c>
      <c r="G31" s="1" t="str">
        <f t="shared" si="1"/>
        <v>抽屉01</v>
      </c>
      <c r="H31" t="str">
        <f t="shared" si="2"/>
        <v>行号04</v>
      </c>
      <c r="I31" s="1" t="str">
        <f t="shared" si="3"/>
        <v>序号06</v>
      </c>
      <c r="J31" s="22" t="s">
        <v>51</v>
      </c>
      <c r="K31" s="1"/>
      <c r="L31" s="1"/>
      <c r="M31" s="1"/>
      <c r="N31" s="1"/>
    </row>
    <row r="32" spans="1:14" ht="15.95" customHeight="1">
      <c r="A32" s="8" t="s">
        <v>20</v>
      </c>
      <c r="B32" s="9" t="s">
        <v>14</v>
      </c>
      <c r="C32" s="8" t="s">
        <v>20</v>
      </c>
      <c r="D32" s="11" t="s">
        <v>26</v>
      </c>
      <c r="E32" s="7" t="str">
        <f t="shared" si="0"/>
        <v>04010407</v>
      </c>
      <c r="F32" s="1" t="s">
        <v>278</v>
      </c>
      <c r="G32" s="1" t="str">
        <f t="shared" si="1"/>
        <v>抽屉01</v>
      </c>
      <c r="H32" t="str">
        <f t="shared" si="2"/>
        <v>行号04</v>
      </c>
      <c r="I32" s="1" t="str">
        <f t="shared" si="3"/>
        <v>序号07</v>
      </c>
      <c r="J32" s="22" t="s">
        <v>52</v>
      </c>
      <c r="K32" s="1"/>
      <c r="L32" s="1"/>
      <c r="M32" s="1"/>
      <c r="N32" s="1"/>
    </row>
    <row r="33" spans="1:14" ht="15.95" customHeight="1">
      <c r="A33" s="8" t="s">
        <v>20</v>
      </c>
      <c r="B33" s="9" t="s">
        <v>14</v>
      </c>
      <c r="C33" s="8" t="s">
        <v>20</v>
      </c>
      <c r="D33" s="11" t="s">
        <v>28</v>
      </c>
      <c r="E33" s="7" t="str">
        <f t="shared" si="0"/>
        <v>04010408</v>
      </c>
      <c r="F33" s="1" t="s">
        <v>278</v>
      </c>
      <c r="G33" s="1" t="str">
        <f t="shared" si="1"/>
        <v>抽屉01</v>
      </c>
      <c r="H33" t="str">
        <f t="shared" si="2"/>
        <v>行号04</v>
      </c>
      <c r="I33" s="1" t="str">
        <f t="shared" si="3"/>
        <v>序号08</v>
      </c>
      <c r="J33" s="22" t="s">
        <v>53</v>
      </c>
      <c r="K33" s="1"/>
      <c r="L33" s="1"/>
      <c r="M33" s="1"/>
      <c r="N33" s="1"/>
    </row>
    <row r="34" spans="1:14" ht="15.95" customHeight="1">
      <c r="A34" s="8" t="s">
        <v>20</v>
      </c>
      <c r="B34" s="8" t="s">
        <v>16</v>
      </c>
      <c r="C34" s="10" t="s">
        <v>14</v>
      </c>
      <c r="D34" s="8" t="s">
        <v>14</v>
      </c>
      <c r="E34" s="7" t="str">
        <f t="shared" si="0"/>
        <v>04020101</v>
      </c>
      <c r="F34" s="1" t="s">
        <v>278</v>
      </c>
      <c r="G34" s="1" t="str">
        <f t="shared" si="1"/>
        <v>抽屉02</v>
      </c>
      <c r="H34" t="str">
        <f t="shared" si="2"/>
        <v>行号01</v>
      </c>
      <c r="I34" s="1" t="str">
        <f t="shared" si="3"/>
        <v>序号01</v>
      </c>
      <c r="J34" s="22" t="s">
        <v>54</v>
      </c>
      <c r="K34" s="1"/>
      <c r="L34" s="1"/>
      <c r="M34" s="1"/>
      <c r="N34" s="1"/>
    </row>
    <row r="35" spans="1:14" ht="15.95" customHeight="1">
      <c r="A35" s="8" t="s">
        <v>20</v>
      </c>
      <c r="B35" s="8" t="s">
        <v>16</v>
      </c>
      <c r="C35" s="10" t="s">
        <v>14</v>
      </c>
      <c r="D35" s="8" t="s">
        <v>16</v>
      </c>
      <c r="E35" s="7" t="str">
        <f t="shared" si="0"/>
        <v>04020102</v>
      </c>
      <c r="F35" s="1" t="s">
        <v>278</v>
      </c>
      <c r="G35" s="1" t="str">
        <f t="shared" si="1"/>
        <v>抽屉02</v>
      </c>
      <c r="H35" t="str">
        <f t="shared" si="2"/>
        <v>行号01</v>
      </c>
      <c r="I35" s="1" t="str">
        <f t="shared" si="3"/>
        <v>序号02</v>
      </c>
      <c r="J35" s="22" t="s">
        <v>55</v>
      </c>
      <c r="K35" s="1"/>
      <c r="L35" s="1"/>
      <c r="M35" s="1"/>
      <c r="N35" s="1"/>
    </row>
    <row r="36" spans="1:14" ht="15.95" customHeight="1">
      <c r="A36" s="8" t="s">
        <v>20</v>
      </c>
      <c r="B36" s="8" t="s">
        <v>16</v>
      </c>
      <c r="C36" s="10" t="s">
        <v>14</v>
      </c>
      <c r="D36" s="8" t="s">
        <v>18</v>
      </c>
      <c r="E36" s="7" t="str">
        <f t="shared" si="0"/>
        <v>04020103</v>
      </c>
      <c r="F36" s="1" t="s">
        <v>278</v>
      </c>
      <c r="G36" s="1" t="str">
        <f t="shared" si="1"/>
        <v>抽屉02</v>
      </c>
      <c r="H36" t="str">
        <f t="shared" si="2"/>
        <v>行号01</v>
      </c>
      <c r="I36" s="1" t="str">
        <f t="shared" si="3"/>
        <v>序号03</v>
      </c>
      <c r="J36" s="22" t="s">
        <v>56</v>
      </c>
      <c r="K36" s="1"/>
      <c r="L36" s="1"/>
      <c r="M36" s="1"/>
      <c r="N36" s="1"/>
    </row>
    <row r="37" spans="1:14" ht="15.95" customHeight="1">
      <c r="A37" s="8" t="s">
        <v>20</v>
      </c>
      <c r="B37" s="8" t="s">
        <v>16</v>
      </c>
      <c r="C37" s="10" t="s">
        <v>14</v>
      </c>
      <c r="D37" s="8" t="s">
        <v>20</v>
      </c>
      <c r="E37" s="7" t="str">
        <f t="shared" si="0"/>
        <v>04020104</v>
      </c>
      <c r="F37" s="1" t="s">
        <v>278</v>
      </c>
      <c r="G37" s="1" t="str">
        <f t="shared" si="1"/>
        <v>抽屉02</v>
      </c>
      <c r="H37" t="str">
        <f t="shared" si="2"/>
        <v>行号01</v>
      </c>
      <c r="I37" s="1" t="str">
        <f t="shared" si="3"/>
        <v>序号04</v>
      </c>
      <c r="J37" s="22" t="s">
        <v>57</v>
      </c>
      <c r="K37" s="1"/>
      <c r="L37" s="1"/>
      <c r="M37" s="1"/>
      <c r="N37" s="1"/>
    </row>
    <row r="38" spans="1:14" ht="15.95" customHeight="1">
      <c r="A38" s="8" t="s">
        <v>20</v>
      </c>
      <c r="B38" s="8" t="s">
        <v>16</v>
      </c>
      <c r="C38" s="10" t="s">
        <v>14</v>
      </c>
      <c r="D38" s="8" t="s">
        <v>22</v>
      </c>
      <c r="E38" s="7" t="str">
        <f t="shared" si="0"/>
        <v>04020105</v>
      </c>
      <c r="F38" s="1" t="s">
        <v>278</v>
      </c>
      <c r="G38" s="1" t="str">
        <f t="shared" si="1"/>
        <v>抽屉02</v>
      </c>
      <c r="H38" t="str">
        <f t="shared" si="2"/>
        <v>行号01</v>
      </c>
      <c r="I38" s="1" t="str">
        <f t="shared" si="3"/>
        <v>序号05</v>
      </c>
      <c r="J38" s="22" t="s">
        <v>58</v>
      </c>
      <c r="K38" s="1"/>
      <c r="L38" s="1"/>
      <c r="M38" s="1"/>
      <c r="N38" s="1"/>
    </row>
    <row r="39" spans="1:14" ht="15.95" customHeight="1">
      <c r="A39" s="8" t="s">
        <v>20</v>
      </c>
      <c r="B39" s="8" t="s">
        <v>16</v>
      </c>
      <c r="C39" s="10" t="s">
        <v>14</v>
      </c>
      <c r="D39" s="8" t="s">
        <v>24</v>
      </c>
      <c r="E39" s="7" t="str">
        <f t="shared" si="0"/>
        <v>04020106</v>
      </c>
      <c r="F39" s="1" t="s">
        <v>278</v>
      </c>
      <c r="G39" s="1" t="str">
        <f t="shared" si="1"/>
        <v>抽屉02</v>
      </c>
      <c r="H39" t="str">
        <f t="shared" si="2"/>
        <v>行号01</v>
      </c>
      <c r="I39" s="1" t="str">
        <f t="shared" si="3"/>
        <v>序号06</v>
      </c>
      <c r="J39" s="22" t="s">
        <v>59</v>
      </c>
      <c r="K39" s="1"/>
      <c r="L39" s="1"/>
      <c r="M39" s="1"/>
      <c r="N39" s="1"/>
    </row>
    <row r="40" spans="1:14" ht="15.95" customHeight="1">
      <c r="A40" s="8" t="s">
        <v>20</v>
      </c>
      <c r="B40" s="8" t="s">
        <v>16</v>
      </c>
      <c r="C40" s="10" t="s">
        <v>14</v>
      </c>
      <c r="D40" s="8" t="s">
        <v>26</v>
      </c>
      <c r="E40" s="7" t="str">
        <f t="shared" si="0"/>
        <v>04020107</v>
      </c>
      <c r="F40" s="1" t="s">
        <v>278</v>
      </c>
      <c r="G40" s="1" t="str">
        <f t="shared" si="1"/>
        <v>抽屉02</v>
      </c>
      <c r="H40" t="str">
        <f t="shared" si="2"/>
        <v>行号01</v>
      </c>
      <c r="I40" s="1" t="str">
        <f t="shared" si="3"/>
        <v>序号07</v>
      </c>
      <c r="J40" s="22" t="s">
        <v>60</v>
      </c>
      <c r="K40" s="1"/>
      <c r="L40" s="1"/>
      <c r="M40" s="1"/>
      <c r="N40" s="1"/>
    </row>
    <row r="41" spans="1:14" ht="15.95" customHeight="1">
      <c r="A41" s="8" t="s">
        <v>20</v>
      </c>
      <c r="B41" s="8" t="s">
        <v>16</v>
      </c>
      <c r="C41" s="10" t="s">
        <v>14</v>
      </c>
      <c r="D41" s="8" t="s">
        <v>28</v>
      </c>
      <c r="E41" s="7" t="str">
        <f t="shared" si="0"/>
        <v>04020108</v>
      </c>
      <c r="F41" s="1" t="s">
        <v>278</v>
      </c>
      <c r="G41" s="1" t="str">
        <f t="shared" si="1"/>
        <v>抽屉02</v>
      </c>
      <c r="H41" t="str">
        <f t="shared" si="2"/>
        <v>行号01</v>
      </c>
      <c r="I41" s="1" t="str">
        <f t="shared" si="3"/>
        <v>序号08</v>
      </c>
      <c r="J41" s="22" t="s">
        <v>61</v>
      </c>
      <c r="K41" s="1"/>
      <c r="L41" s="1"/>
      <c r="M41" s="1"/>
      <c r="N41" s="1"/>
    </row>
    <row r="42" spans="1:14" ht="15.95" customHeight="1">
      <c r="A42" s="8" t="s">
        <v>20</v>
      </c>
      <c r="B42" s="8" t="s">
        <v>16</v>
      </c>
      <c r="C42" s="8" t="s">
        <v>16</v>
      </c>
      <c r="D42" s="11" t="s">
        <v>14</v>
      </c>
      <c r="E42" s="7" t="str">
        <f t="shared" si="0"/>
        <v>04020201</v>
      </c>
      <c r="F42" s="1" t="s">
        <v>278</v>
      </c>
      <c r="G42" s="1" t="str">
        <f t="shared" si="1"/>
        <v>抽屉02</v>
      </c>
      <c r="H42" t="str">
        <f t="shared" si="2"/>
        <v>行号02</v>
      </c>
      <c r="I42" s="1" t="str">
        <f t="shared" si="3"/>
        <v>序号01</v>
      </c>
      <c r="J42" s="22" t="s">
        <v>62</v>
      </c>
      <c r="K42" s="1"/>
      <c r="L42" s="1"/>
      <c r="M42" s="1"/>
      <c r="N42" s="1"/>
    </row>
    <row r="43" spans="1:14" ht="15.95" customHeight="1">
      <c r="A43" s="8" t="s">
        <v>20</v>
      </c>
      <c r="B43" s="8" t="s">
        <v>16</v>
      </c>
      <c r="C43" s="8" t="s">
        <v>16</v>
      </c>
      <c r="D43" s="11" t="s">
        <v>16</v>
      </c>
      <c r="E43" s="7" t="str">
        <f t="shared" si="0"/>
        <v>04020202</v>
      </c>
      <c r="F43" s="1" t="s">
        <v>278</v>
      </c>
      <c r="G43" s="1" t="str">
        <f t="shared" si="1"/>
        <v>抽屉02</v>
      </c>
      <c r="H43" t="str">
        <f t="shared" si="2"/>
        <v>行号02</v>
      </c>
      <c r="I43" s="1" t="str">
        <f t="shared" si="3"/>
        <v>序号02</v>
      </c>
      <c r="J43" s="22" t="s">
        <v>63</v>
      </c>
      <c r="K43" s="1"/>
      <c r="L43" s="1"/>
      <c r="M43" s="1"/>
      <c r="N43" s="1"/>
    </row>
    <row r="44" spans="1:14" ht="15.95" customHeight="1">
      <c r="A44" s="8" t="s">
        <v>20</v>
      </c>
      <c r="B44" s="8" t="s">
        <v>16</v>
      </c>
      <c r="C44" s="8" t="s">
        <v>16</v>
      </c>
      <c r="D44" s="11" t="s">
        <v>18</v>
      </c>
      <c r="E44" s="7" t="str">
        <f t="shared" si="0"/>
        <v>04020203</v>
      </c>
      <c r="F44" s="1" t="s">
        <v>278</v>
      </c>
      <c r="G44" s="1" t="str">
        <f t="shared" si="1"/>
        <v>抽屉02</v>
      </c>
      <c r="H44" t="str">
        <f t="shared" si="2"/>
        <v>行号02</v>
      </c>
      <c r="I44" s="1" t="str">
        <f t="shared" si="3"/>
        <v>序号03</v>
      </c>
      <c r="J44" s="22" t="s">
        <v>64</v>
      </c>
      <c r="K44" s="1"/>
      <c r="L44" s="1"/>
      <c r="M44" s="1"/>
      <c r="N44" s="1"/>
    </row>
    <row r="45" spans="1:14" ht="15.95" customHeight="1">
      <c r="A45" s="8" t="s">
        <v>20</v>
      </c>
      <c r="B45" s="8" t="s">
        <v>16</v>
      </c>
      <c r="C45" s="8" t="s">
        <v>16</v>
      </c>
      <c r="D45" s="11" t="s">
        <v>20</v>
      </c>
      <c r="E45" s="7" t="str">
        <f t="shared" si="0"/>
        <v>04020204</v>
      </c>
      <c r="F45" s="1" t="s">
        <v>278</v>
      </c>
      <c r="G45" s="1" t="str">
        <f t="shared" si="1"/>
        <v>抽屉02</v>
      </c>
      <c r="H45" t="str">
        <f t="shared" si="2"/>
        <v>行号02</v>
      </c>
      <c r="I45" s="1" t="str">
        <f t="shared" si="3"/>
        <v>序号04</v>
      </c>
      <c r="J45" s="22" t="s">
        <v>65</v>
      </c>
      <c r="K45" s="1"/>
      <c r="L45" s="1"/>
      <c r="M45" s="1"/>
      <c r="N45" s="1"/>
    </row>
    <row r="46" spans="1:14" ht="15.95" customHeight="1">
      <c r="A46" s="8" t="s">
        <v>20</v>
      </c>
      <c r="B46" s="8" t="s">
        <v>16</v>
      </c>
      <c r="C46" s="8" t="s">
        <v>16</v>
      </c>
      <c r="D46" s="11" t="s">
        <v>22</v>
      </c>
      <c r="E46" s="7" t="str">
        <f t="shared" si="0"/>
        <v>04020205</v>
      </c>
      <c r="F46" s="1" t="s">
        <v>278</v>
      </c>
      <c r="G46" s="1" t="str">
        <f t="shared" si="1"/>
        <v>抽屉02</v>
      </c>
      <c r="H46" t="str">
        <f t="shared" si="2"/>
        <v>行号02</v>
      </c>
      <c r="I46" s="1" t="str">
        <f t="shared" si="3"/>
        <v>序号05</v>
      </c>
      <c r="J46" s="22" t="s">
        <v>66</v>
      </c>
      <c r="K46" s="1"/>
      <c r="L46" s="1"/>
      <c r="M46" s="1"/>
      <c r="N46" s="1"/>
    </row>
    <row r="47" spans="1:14" ht="15.95" customHeight="1">
      <c r="A47" s="8" t="s">
        <v>20</v>
      </c>
      <c r="B47" s="8" t="s">
        <v>16</v>
      </c>
      <c r="C47" s="8" t="s">
        <v>16</v>
      </c>
      <c r="D47" s="11" t="s">
        <v>24</v>
      </c>
      <c r="E47" s="7" t="str">
        <f t="shared" si="0"/>
        <v>04020206</v>
      </c>
      <c r="F47" s="1" t="s">
        <v>278</v>
      </c>
      <c r="G47" s="1" t="str">
        <f t="shared" si="1"/>
        <v>抽屉02</v>
      </c>
      <c r="H47" t="str">
        <f t="shared" si="2"/>
        <v>行号02</v>
      </c>
      <c r="I47" s="1" t="str">
        <f t="shared" si="3"/>
        <v>序号06</v>
      </c>
      <c r="J47" s="22" t="s">
        <v>67</v>
      </c>
      <c r="K47" s="1"/>
      <c r="L47" s="1"/>
      <c r="M47" s="1"/>
      <c r="N47" s="1"/>
    </row>
    <row r="48" spans="1:14" ht="15.95" customHeight="1">
      <c r="A48" s="8" t="s">
        <v>20</v>
      </c>
      <c r="B48" s="8" t="s">
        <v>16</v>
      </c>
      <c r="C48" s="8" t="s">
        <v>16</v>
      </c>
      <c r="D48" s="11" t="s">
        <v>26</v>
      </c>
      <c r="E48" s="7" t="str">
        <f t="shared" si="0"/>
        <v>04020207</v>
      </c>
      <c r="F48" s="1" t="s">
        <v>278</v>
      </c>
      <c r="G48" s="1" t="str">
        <f t="shared" si="1"/>
        <v>抽屉02</v>
      </c>
      <c r="H48" t="str">
        <f t="shared" si="2"/>
        <v>行号02</v>
      </c>
      <c r="I48" s="1" t="str">
        <f t="shared" si="3"/>
        <v>序号07</v>
      </c>
      <c r="J48" s="22" t="s">
        <v>68</v>
      </c>
      <c r="K48" s="1"/>
      <c r="L48" s="1"/>
      <c r="M48" s="1"/>
      <c r="N48" s="1"/>
    </row>
    <row r="49" spans="1:14" ht="15.95" customHeight="1">
      <c r="A49" s="8" t="s">
        <v>20</v>
      </c>
      <c r="B49" s="8" t="s">
        <v>16</v>
      </c>
      <c r="C49" s="8" t="s">
        <v>16</v>
      </c>
      <c r="D49" s="11" t="s">
        <v>28</v>
      </c>
      <c r="E49" s="7" t="str">
        <f t="shared" si="0"/>
        <v>04020208</v>
      </c>
      <c r="F49" s="1" t="s">
        <v>278</v>
      </c>
      <c r="G49" s="1" t="str">
        <f t="shared" si="1"/>
        <v>抽屉02</v>
      </c>
      <c r="H49" t="str">
        <f t="shared" si="2"/>
        <v>行号02</v>
      </c>
      <c r="I49" s="1" t="str">
        <f t="shared" si="3"/>
        <v>序号08</v>
      </c>
      <c r="J49" s="22" t="s">
        <v>69</v>
      </c>
      <c r="K49" s="1"/>
      <c r="L49" s="1"/>
      <c r="M49" s="1"/>
      <c r="N49" s="1"/>
    </row>
    <row r="50" spans="1:14" ht="15.95" customHeight="1">
      <c r="A50" s="8" t="s">
        <v>20</v>
      </c>
      <c r="B50" s="8" t="s">
        <v>16</v>
      </c>
      <c r="C50" s="10" t="s">
        <v>18</v>
      </c>
      <c r="D50" s="8" t="s">
        <v>14</v>
      </c>
      <c r="E50" s="7" t="str">
        <f t="shared" si="0"/>
        <v>04020301</v>
      </c>
      <c r="F50" s="1" t="s">
        <v>278</v>
      </c>
      <c r="G50" s="1" t="str">
        <f t="shared" si="1"/>
        <v>抽屉02</v>
      </c>
      <c r="H50" t="str">
        <f t="shared" si="2"/>
        <v>行号03</v>
      </c>
      <c r="I50" s="1" t="str">
        <f t="shared" si="3"/>
        <v>序号01</v>
      </c>
      <c r="J50" s="22" t="s">
        <v>70</v>
      </c>
      <c r="K50" s="1"/>
      <c r="L50" s="1"/>
      <c r="M50" s="1"/>
      <c r="N50" s="1"/>
    </row>
    <row r="51" spans="1:14" ht="15.95" customHeight="1">
      <c r="A51" s="8" t="s">
        <v>20</v>
      </c>
      <c r="B51" s="8" t="s">
        <v>16</v>
      </c>
      <c r="C51" s="10" t="s">
        <v>18</v>
      </c>
      <c r="D51" s="8" t="s">
        <v>16</v>
      </c>
      <c r="E51" s="7" t="str">
        <f t="shared" si="0"/>
        <v>04020302</v>
      </c>
      <c r="F51" s="1" t="s">
        <v>278</v>
      </c>
      <c r="G51" s="1" t="str">
        <f t="shared" si="1"/>
        <v>抽屉02</v>
      </c>
      <c r="H51" t="str">
        <f t="shared" si="2"/>
        <v>行号03</v>
      </c>
      <c r="I51" s="1" t="str">
        <f t="shared" si="3"/>
        <v>序号02</v>
      </c>
      <c r="J51" s="22" t="s">
        <v>71</v>
      </c>
      <c r="K51" s="1"/>
      <c r="L51" s="1"/>
      <c r="M51" s="1"/>
      <c r="N51" s="1"/>
    </row>
    <row r="52" spans="1:14" ht="15.95" customHeight="1">
      <c r="A52" s="8" t="s">
        <v>20</v>
      </c>
      <c r="B52" s="8" t="s">
        <v>16</v>
      </c>
      <c r="C52" s="10" t="s">
        <v>18</v>
      </c>
      <c r="D52" s="8" t="s">
        <v>18</v>
      </c>
      <c r="E52" s="7" t="str">
        <f t="shared" si="0"/>
        <v>04020303</v>
      </c>
      <c r="F52" s="1" t="s">
        <v>278</v>
      </c>
      <c r="G52" s="1" t="str">
        <f t="shared" si="1"/>
        <v>抽屉02</v>
      </c>
      <c r="H52" t="str">
        <f t="shared" si="2"/>
        <v>行号03</v>
      </c>
      <c r="I52" s="1" t="str">
        <f t="shared" si="3"/>
        <v>序号03</v>
      </c>
      <c r="J52" s="22" t="s">
        <v>72</v>
      </c>
      <c r="K52" s="1"/>
      <c r="L52" s="1"/>
      <c r="M52" s="1"/>
      <c r="N52" s="1"/>
    </row>
    <row r="53" spans="1:14" ht="15.95" customHeight="1">
      <c r="A53" s="8" t="s">
        <v>20</v>
      </c>
      <c r="B53" s="8" t="s">
        <v>16</v>
      </c>
      <c r="C53" s="10" t="s">
        <v>18</v>
      </c>
      <c r="D53" s="8" t="s">
        <v>20</v>
      </c>
      <c r="E53" s="7" t="str">
        <f t="shared" si="0"/>
        <v>04020304</v>
      </c>
      <c r="F53" s="1" t="s">
        <v>278</v>
      </c>
      <c r="G53" s="1" t="str">
        <f t="shared" si="1"/>
        <v>抽屉02</v>
      </c>
      <c r="H53" t="str">
        <f t="shared" si="2"/>
        <v>行号03</v>
      </c>
      <c r="I53" s="1" t="str">
        <f t="shared" si="3"/>
        <v>序号04</v>
      </c>
      <c r="J53" s="22" t="s">
        <v>73</v>
      </c>
      <c r="K53" s="1"/>
      <c r="L53" s="1"/>
      <c r="M53" s="1"/>
      <c r="N53" s="1"/>
    </row>
    <row r="54" spans="1:14" ht="15.95" customHeight="1">
      <c r="A54" s="8" t="s">
        <v>20</v>
      </c>
      <c r="B54" s="8" t="s">
        <v>16</v>
      </c>
      <c r="C54" s="10" t="s">
        <v>18</v>
      </c>
      <c r="D54" s="8" t="s">
        <v>22</v>
      </c>
      <c r="E54" s="7" t="str">
        <f t="shared" si="0"/>
        <v>04020305</v>
      </c>
      <c r="F54" s="1" t="s">
        <v>278</v>
      </c>
      <c r="G54" s="1" t="str">
        <f t="shared" si="1"/>
        <v>抽屉02</v>
      </c>
      <c r="H54" t="str">
        <f t="shared" si="2"/>
        <v>行号03</v>
      </c>
      <c r="I54" s="1" t="str">
        <f t="shared" si="3"/>
        <v>序号05</v>
      </c>
      <c r="J54" s="22" t="s">
        <v>74</v>
      </c>
      <c r="K54" s="1"/>
      <c r="L54" s="1"/>
      <c r="M54" s="1"/>
      <c r="N54" s="1"/>
    </row>
    <row r="55" spans="1:14" ht="15.95" customHeight="1">
      <c r="A55" s="8" t="s">
        <v>20</v>
      </c>
      <c r="B55" s="8" t="s">
        <v>16</v>
      </c>
      <c r="C55" s="10" t="s">
        <v>18</v>
      </c>
      <c r="D55" s="8" t="s">
        <v>24</v>
      </c>
      <c r="E55" s="7" t="str">
        <f t="shared" si="0"/>
        <v>04020306</v>
      </c>
      <c r="F55" s="1" t="s">
        <v>278</v>
      </c>
      <c r="G55" s="1" t="str">
        <f t="shared" si="1"/>
        <v>抽屉02</v>
      </c>
      <c r="H55" t="str">
        <f t="shared" si="2"/>
        <v>行号03</v>
      </c>
      <c r="I55" s="1" t="str">
        <f t="shared" si="3"/>
        <v>序号06</v>
      </c>
      <c r="J55" s="22" t="s">
        <v>75</v>
      </c>
      <c r="K55" s="1"/>
      <c r="L55" s="1"/>
      <c r="M55" s="1"/>
      <c r="N55" s="1"/>
    </row>
    <row r="56" spans="1:14" ht="15.95" customHeight="1">
      <c r="A56" s="8" t="s">
        <v>20</v>
      </c>
      <c r="B56" s="8" t="s">
        <v>16</v>
      </c>
      <c r="C56" s="10" t="s">
        <v>18</v>
      </c>
      <c r="D56" s="8" t="s">
        <v>26</v>
      </c>
      <c r="E56" s="7" t="str">
        <f t="shared" si="0"/>
        <v>04020307</v>
      </c>
      <c r="F56" s="1" t="s">
        <v>278</v>
      </c>
      <c r="G56" s="1" t="str">
        <f t="shared" si="1"/>
        <v>抽屉02</v>
      </c>
      <c r="H56" t="str">
        <f t="shared" si="2"/>
        <v>行号03</v>
      </c>
      <c r="I56" s="1" t="str">
        <f t="shared" si="3"/>
        <v>序号07</v>
      </c>
      <c r="J56" s="22" t="s">
        <v>76</v>
      </c>
      <c r="K56" s="1"/>
      <c r="L56" s="1"/>
      <c r="M56" s="1"/>
      <c r="N56" s="1"/>
    </row>
    <row r="57" spans="1:14" ht="15.95" customHeight="1">
      <c r="A57" s="8" t="s">
        <v>20</v>
      </c>
      <c r="B57" s="8" t="s">
        <v>16</v>
      </c>
      <c r="C57" s="10" t="s">
        <v>18</v>
      </c>
      <c r="D57" s="8" t="s">
        <v>28</v>
      </c>
      <c r="E57" s="7" t="str">
        <f t="shared" si="0"/>
        <v>04020308</v>
      </c>
      <c r="F57" s="1" t="s">
        <v>278</v>
      </c>
      <c r="G57" s="1" t="str">
        <f t="shared" si="1"/>
        <v>抽屉02</v>
      </c>
      <c r="H57" t="str">
        <f t="shared" si="2"/>
        <v>行号03</v>
      </c>
      <c r="I57" s="1" t="str">
        <f t="shared" si="3"/>
        <v>序号08</v>
      </c>
      <c r="J57" s="22" t="s">
        <v>77</v>
      </c>
      <c r="K57" s="1"/>
      <c r="L57" s="1"/>
      <c r="M57" s="1"/>
      <c r="N57" s="1"/>
    </row>
    <row r="58" spans="1:14" ht="15.95" customHeight="1">
      <c r="A58" s="8" t="s">
        <v>20</v>
      </c>
      <c r="B58" s="8" t="s">
        <v>16</v>
      </c>
      <c r="C58" s="8" t="s">
        <v>20</v>
      </c>
      <c r="D58" s="11" t="s">
        <v>14</v>
      </c>
      <c r="E58" s="7" t="str">
        <f t="shared" si="0"/>
        <v>04020401</v>
      </c>
      <c r="F58" s="1" t="s">
        <v>278</v>
      </c>
      <c r="G58" s="1" t="str">
        <f t="shared" si="1"/>
        <v>抽屉02</v>
      </c>
      <c r="H58" t="str">
        <f t="shared" si="2"/>
        <v>行号04</v>
      </c>
      <c r="I58" s="1" t="str">
        <f t="shared" si="3"/>
        <v>序号01</v>
      </c>
      <c r="J58" s="22" t="s">
        <v>78</v>
      </c>
      <c r="K58" s="1"/>
      <c r="L58" s="1"/>
      <c r="M58" s="1"/>
      <c r="N58" s="1"/>
    </row>
    <row r="59" spans="1:14" ht="15.95" customHeight="1">
      <c r="A59" s="8" t="s">
        <v>20</v>
      </c>
      <c r="B59" s="8" t="s">
        <v>16</v>
      </c>
      <c r="C59" s="8" t="s">
        <v>20</v>
      </c>
      <c r="D59" s="11" t="s">
        <v>16</v>
      </c>
      <c r="E59" s="7" t="str">
        <f t="shared" si="0"/>
        <v>04020402</v>
      </c>
      <c r="F59" s="1" t="s">
        <v>278</v>
      </c>
      <c r="G59" s="1" t="str">
        <f t="shared" si="1"/>
        <v>抽屉02</v>
      </c>
      <c r="H59" t="str">
        <f t="shared" si="2"/>
        <v>行号04</v>
      </c>
      <c r="I59" s="1" t="str">
        <f t="shared" si="3"/>
        <v>序号02</v>
      </c>
      <c r="J59" s="22" t="s">
        <v>79</v>
      </c>
      <c r="K59" s="1"/>
      <c r="L59" s="1"/>
      <c r="M59" s="1"/>
      <c r="N59" s="1"/>
    </row>
    <row r="60" spans="1:14" ht="15.95" customHeight="1">
      <c r="A60" s="8" t="s">
        <v>20</v>
      </c>
      <c r="B60" s="8" t="s">
        <v>16</v>
      </c>
      <c r="C60" s="8" t="s">
        <v>20</v>
      </c>
      <c r="D60" s="11" t="s">
        <v>18</v>
      </c>
      <c r="E60" s="7" t="str">
        <f t="shared" si="0"/>
        <v>04020403</v>
      </c>
      <c r="F60" s="1" t="s">
        <v>278</v>
      </c>
      <c r="G60" s="1" t="str">
        <f t="shared" si="1"/>
        <v>抽屉02</v>
      </c>
      <c r="H60" t="str">
        <f t="shared" si="2"/>
        <v>行号04</v>
      </c>
      <c r="I60" s="1" t="str">
        <f t="shared" si="3"/>
        <v>序号03</v>
      </c>
      <c r="J60" s="22" t="s">
        <v>80</v>
      </c>
      <c r="K60" s="1"/>
      <c r="L60" s="1"/>
      <c r="M60" s="1"/>
      <c r="N60" s="1"/>
    </row>
    <row r="61" spans="1:14" ht="15.95" customHeight="1">
      <c r="A61" s="8" t="s">
        <v>20</v>
      </c>
      <c r="B61" s="8" t="s">
        <v>16</v>
      </c>
      <c r="C61" s="8" t="s">
        <v>20</v>
      </c>
      <c r="D61" s="11" t="s">
        <v>20</v>
      </c>
      <c r="E61" s="7" t="str">
        <f t="shared" si="0"/>
        <v>04020404</v>
      </c>
      <c r="F61" s="1" t="s">
        <v>278</v>
      </c>
      <c r="G61" s="1" t="str">
        <f t="shared" si="1"/>
        <v>抽屉02</v>
      </c>
      <c r="H61" t="str">
        <f t="shared" si="2"/>
        <v>行号04</v>
      </c>
      <c r="I61" s="1" t="str">
        <f t="shared" si="3"/>
        <v>序号04</v>
      </c>
      <c r="J61" s="22" t="s">
        <v>81</v>
      </c>
      <c r="K61" s="1"/>
      <c r="L61" s="1"/>
      <c r="M61" s="1"/>
      <c r="N61" s="1"/>
    </row>
    <row r="62" spans="1:14" ht="15.95" customHeight="1">
      <c r="A62" s="8" t="s">
        <v>20</v>
      </c>
      <c r="B62" s="8" t="s">
        <v>16</v>
      </c>
      <c r="C62" s="8" t="s">
        <v>20</v>
      </c>
      <c r="D62" s="11" t="s">
        <v>22</v>
      </c>
      <c r="E62" s="7" t="str">
        <f t="shared" si="0"/>
        <v>04020405</v>
      </c>
      <c r="F62" s="1" t="s">
        <v>278</v>
      </c>
      <c r="G62" s="1" t="str">
        <f t="shared" si="1"/>
        <v>抽屉02</v>
      </c>
      <c r="H62" t="str">
        <f t="shared" si="2"/>
        <v>行号04</v>
      </c>
      <c r="I62" s="1" t="str">
        <f t="shared" si="3"/>
        <v>序号05</v>
      </c>
      <c r="J62" s="22" t="s">
        <v>82</v>
      </c>
      <c r="K62" s="1"/>
      <c r="L62" s="1"/>
      <c r="M62" s="1"/>
      <c r="N62" s="1"/>
    </row>
    <row r="63" spans="1:14" ht="15.95" customHeight="1">
      <c r="A63" s="8" t="s">
        <v>20</v>
      </c>
      <c r="B63" s="8" t="s">
        <v>16</v>
      </c>
      <c r="C63" s="8" t="s">
        <v>20</v>
      </c>
      <c r="D63" s="11" t="s">
        <v>24</v>
      </c>
      <c r="E63" s="7" t="str">
        <f t="shared" si="0"/>
        <v>04020406</v>
      </c>
      <c r="F63" s="1" t="s">
        <v>278</v>
      </c>
      <c r="G63" s="1" t="str">
        <f t="shared" si="1"/>
        <v>抽屉02</v>
      </c>
      <c r="H63" t="str">
        <f t="shared" si="2"/>
        <v>行号04</v>
      </c>
      <c r="I63" s="1" t="str">
        <f t="shared" si="3"/>
        <v>序号06</v>
      </c>
      <c r="J63" s="22" t="s">
        <v>83</v>
      </c>
      <c r="K63" s="1"/>
      <c r="L63" s="1"/>
      <c r="M63" s="1"/>
      <c r="N63" s="1"/>
    </row>
    <row r="64" spans="1:14" ht="15.95" customHeight="1">
      <c r="A64" s="8" t="s">
        <v>20</v>
      </c>
      <c r="B64" s="8" t="s">
        <v>16</v>
      </c>
      <c r="C64" s="8" t="s">
        <v>20</v>
      </c>
      <c r="D64" s="11" t="s">
        <v>26</v>
      </c>
      <c r="E64" s="7" t="str">
        <f t="shared" si="0"/>
        <v>04020407</v>
      </c>
      <c r="F64" s="1" t="s">
        <v>278</v>
      </c>
      <c r="G64" s="1" t="str">
        <f t="shared" si="1"/>
        <v>抽屉02</v>
      </c>
      <c r="H64" t="str">
        <f t="shared" si="2"/>
        <v>行号04</v>
      </c>
      <c r="I64" s="1" t="str">
        <f t="shared" si="3"/>
        <v>序号07</v>
      </c>
      <c r="J64" s="22" t="s">
        <v>84</v>
      </c>
      <c r="K64" s="1"/>
      <c r="L64" s="1"/>
      <c r="M64" s="1"/>
      <c r="N64" s="1"/>
    </row>
    <row r="65" spans="1:14" ht="15.95" customHeight="1">
      <c r="A65" s="8" t="s">
        <v>20</v>
      </c>
      <c r="B65" s="8" t="s">
        <v>16</v>
      </c>
      <c r="C65" s="8" t="s">
        <v>20</v>
      </c>
      <c r="D65" s="11" t="s">
        <v>28</v>
      </c>
      <c r="E65" s="7" t="str">
        <f t="shared" si="0"/>
        <v>04020408</v>
      </c>
      <c r="F65" s="1" t="s">
        <v>278</v>
      </c>
      <c r="G65" s="1" t="str">
        <f t="shared" si="1"/>
        <v>抽屉02</v>
      </c>
      <c r="H65" t="str">
        <f t="shared" si="2"/>
        <v>行号04</v>
      </c>
      <c r="I65" s="1" t="str">
        <f t="shared" si="3"/>
        <v>序号08</v>
      </c>
      <c r="J65" s="22" t="s">
        <v>85</v>
      </c>
      <c r="K65" s="1"/>
      <c r="L65" s="1"/>
      <c r="M65" s="1"/>
      <c r="N65" s="1"/>
    </row>
    <row r="66" spans="1:14" ht="15.95" customHeight="1">
      <c r="A66" s="8" t="s">
        <v>20</v>
      </c>
      <c r="B66" s="9" t="s">
        <v>18</v>
      </c>
      <c r="C66" s="10" t="s">
        <v>14</v>
      </c>
      <c r="D66" s="8" t="s">
        <v>14</v>
      </c>
      <c r="E66" s="7" t="str">
        <f t="shared" ref="E66:E129" si="4">A66&amp;B66&amp;C66&amp;D66</f>
        <v>04030101</v>
      </c>
      <c r="F66" s="1" t="s">
        <v>278</v>
      </c>
      <c r="G66" s="1" t="str">
        <f t="shared" ref="G66:G129" si="5">"抽屉"&amp;B66</f>
        <v>抽屉03</v>
      </c>
      <c r="H66" t="str">
        <f t="shared" ref="H66:H129" si="6">"行号"&amp;C66</f>
        <v>行号01</v>
      </c>
      <c r="I66" s="1" t="str">
        <f t="shared" ref="I66:I129" si="7">"序号"&amp;D66</f>
        <v>序号01</v>
      </c>
      <c r="J66" s="22" t="s">
        <v>86</v>
      </c>
      <c r="K66" s="1"/>
      <c r="L66" s="1"/>
      <c r="M66" s="1"/>
      <c r="N66" s="1"/>
    </row>
    <row r="67" spans="1:14" ht="15.95" customHeight="1">
      <c r="A67" s="8" t="s">
        <v>20</v>
      </c>
      <c r="B67" s="9" t="s">
        <v>18</v>
      </c>
      <c r="C67" s="10" t="s">
        <v>14</v>
      </c>
      <c r="D67" s="8" t="s">
        <v>16</v>
      </c>
      <c r="E67" s="7" t="str">
        <f t="shared" si="4"/>
        <v>04030102</v>
      </c>
      <c r="F67" s="1" t="s">
        <v>278</v>
      </c>
      <c r="G67" s="1" t="str">
        <f t="shared" si="5"/>
        <v>抽屉03</v>
      </c>
      <c r="H67" t="str">
        <f t="shared" si="6"/>
        <v>行号01</v>
      </c>
      <c r="I67" s="1" t="str">
        <f t="shared" si="7"/>
        <v>序号02</v>
      </c>
      <c r="J67" s="22" t="s">
        <v>87</v>
      </c>
      <c r="K67" s="1"/>
      <c r="L67" s="1"/>
      <c r="M67" s="1"/>
      <c r="N67" s="1"/>
    </row>
    <row r="68" spans="1:14" ht="15.95" customHeight="1">
      <c r="A68" s="8" t="s">
        <v>20</v>
      </c>
      <c r="B68" s="9" t="s">
        <v>18</v>
      </c>
      <c r="C68" s="10" t="s">
        <v>14</v>
      </c>
      <c r="D68" s="8" t="s">
        <v>18</v>
      </c>
      <c r="E68" s="7" t="str">
        <f t="shared" si="4"/>
        <v>04030103</v>
      </c>
      <c r="F68" s="1" t="s">
        <v>278</v>
      </c>
      <c r="G68" s="1" t="str">
        <f t="shared" si="5"/>
        <v>抽屉03</v>
      </c>
      <c r="H68" t="str">
        <f t="shared" si="6"/>
        <v>行号01</v>
      </c>
      <c r="I68" s="1" t="str">
        <f t="shared" si="7"/>
        <v>序号03</v>
      </c>
      <c r="J68" s="22" t="s">
        <v>88</v>
      </c>
      <c r="K68" s="1"/>
      <c r="L68" s="1"/>
      <c r="M68" s="1"/>
      <c r="N68" s="1"/>
    </row>
    <row r="69" spans="1:14" ht="15.95" customHeight="1">
      <c r="A69" s="8" t="s">
        <v>20</v>
      </c>
      <c r="B69" s="9" t="s">
        <v>18</v>
      </c>
      <c r="C69" s="10" t="s">
        <v>14</v>
      </c>
      <c r="D69" s="8" t="s">
        <v>20</v>
      </c>
      <c r="E69" s="7" t="str">
        <f t="shared" si="4"/>
        <v>04030104</v>
      </c>
      <c r="F69" s="1" t="s">
        <v>278</v>
      </c>
      <c r="G69" s="1" t="str">
        <f t="shared" si="5"/>
        <v>抽屉03</v>
      </c>
      <c r="H69" t="str">
        <f t="shared" si="6"/>
        <v>行号01</v>
      </c>
      <c r="I69" s="1" t="str">
        <f t="shared" si="7"/>
        <v>序号04</v>
      </c>
      <c r="J69" s="22" t="s">
        <v>89</v>
      </c>
      <c r="K69" s="1"/>
      <c r="L69" s="1"/>
      <c r="M69" s="1"/>
      <c r="N69" s="1"/>
    </row>
    <row r="70" spans="1:14" ht="15.95" customHeight="1">
      <c r="A70" s="8" t="s">
        <v>20</v>
      </c>
      <c r="B70" s="9" t="s">
        <v>18</v>
      </c>
      <c r="C70" s="10" t="s">
        <v>14</v>
      </c>
      <c r="D70" s="8" t="s">
        <v>22</v>
      </c>
      <c r="E70" s="7" t="str">
        <f t="shared" si="4"/>
        <v>04030105</v>
      </c>
      <c r="F70" s="1" t="s">
        <v>278</v>
      </c>
      <c r="G70" s="1" t="str">
        <f t="shared" si="5"/>
        <v>抽屉03</v>
      </c>
      <c r="H70" t="str">
        <f t="shared" si="6"/>
        <v>行号01</v>
      </c>
      <c r="I70" s="1" t="str">
        <f t="shared" si="7"/>
        <v>序号05</v>
      </c>
      <c r="J70" s="22" t="s">
        <v>90</v>
      </c>
      <c r="K70" s="1"/>
      <c r="L70" s="1"/>
      <c r="M70" s="1"/>
      <c r="N70" s="1"/>
    </row>
    <row r="71" spans="1:14" ht="15.95" customHeight="1">
      <c r="A71" s="8" t="s">
        <v>20</v>
      </c>
      <c r="B71" s="9" t="s">
        <v>18</v>
      </c>
      <c r="C71" s="10" t="s">
        <v>14</v>
      </c>
      <c r="D71" s="8" t="s">
        <v>24</v>
      </c>
      <c r="E71" s="7" t="str">
        <f t="shared" si="4"/>
        <v>04030106</v>
      </c>
      <c r="F71" s="1" t="s">
        <v>278</v>
      </c>
      <c r="G71" s="1" t="str">
        <f t="shared" si="5"/>
        <v>抽屉03</v>
      </c>
      <c r="H71" t="str">
        <f t="shared" si="6"/>
        <v>行号01</v>
      </c>
      <c r="I71" s="1" t="str">
        <f t="shared" si="7"/>
        <v>序号06</v>
      </c>
      <c r="J71" s="22" t="s">
        <v>91</v>
      </c>
      <c r="K71" s="1"/>
      <c r="L71" s="1"/>
      <c r="M71" s="1"/>
      <c r="N71" s="1"/>
    </row>
    <row r="72" spans="1:14" ht="15.95" customHeight="1">
      <c r="A72" s="8" t="s">
        <v>20</v>
      </c>
      <c r="B72" s="9" t="s">
        <v>18</v>
      </c>
      <c r="C72" s="10" t="s">
        <v>14</v>
      </c>
      <c r="D72" s="8" t="s">
        <v>26</v>
      </c>
      <c r="E72" s="7" t="str">
        <f t="shared" si="4"/>
        <v>04030107</v>
      </c>
      <c r="F72" s="1" t="s">
        <v>278</v>
      </c>
      <c r="G72" s="1" t="str">
        <f t="shared" si="5"/>
        <v>抽屉03</v>
      </c>
      <c r="H72" t="str">
        <f t="shared" si="6"/>
        <v>行号01</v>
      </c>
      <c r="I72" s="1" t="str">
        <f t="shared" si="7"/>
        <v>序号07</v>
      </c>
      <c r="J72" s="22" t="s">
        <v>92</v>
      </c>
      <c r="K72" s="1"/>
      <c r="L72" s="1"/>
      <c r="M72" s="1"/>
      <c r="N72" s="1"/>
    </row>
    <row r="73" spans="1:14" ht="15.95" customHeight="1">
      <c r="A73" s="8" t="s">
        <v>20</v>
      </c>
      <c r="B73" s="9" t="s">
        <v>18</v>
      </c>
      <c r="C73" s="10" t="s">
        <v>14</v>
      </c>
      <c r="D73" s="8" t="s">
        <v>28</v>
      </c>
      <c r="E73" s="7" t="str">
        <f t="shared" si="4"/>
        <v>04030108</v>
      </c>
      <c r="F73" s="1" t="s">
        <v>278</v>
      </c>
      <c r="G73" s="1" t="str">
        <f t="shared" si="5"/>
        <v>抽屉03</v>
      </c>
      <c r="H73" t="str">
        <f t="shared" si="6"/>
        <v>行号01</v>
      </c>
      <c r="I73" s="1" t="str">
        <f t="shared" si="7"/>
        <v>序号08</v>
      </c>
      <c r="J73" s="22" t="s">
        <v>93</v>
      </c>
      <c r="K73" s="1"/>
      <c r="L73" s="1"/>
      <c r="M73" s="1"/>
      <c r="N73" s="1"/>
    </row>
    <row r="74" spans="1:14">
      <c r="A74" s="8" t="s">
        <v>20</v>
      </c>
      <c r="B74" s="9" t="s">
        <v>18</v>
      </c>
      <c r="C74" s="8" t="s">
        <v>16</v>
      </c>
      <c r="D74" s="11" t="s">
        <v>14</v>
      </c>
      <c r="E74" s="7" t="str">
        <f t="shared" si="4"/>
        <v>04030201</v>
      </c>
      <c r="F74" s="1" t="s">
        <v>278</v>
      </c>
      <c r="G74" s="1" t="str">
        <f t="shared" si="5"/>
        <v>抽屉03</v>
      </c>
      <c r="H74" t="str">
        <f t="shared" si="6"/>
        <v>行号02</v>
      </c>
      <c r="I74" s="1" t="str">
        <f t="shared" si="7"/>
        <v>序号01</v>
      </c>
      <c r="J74" s="22" t="s">
        <v>94</v>
      </c>
      <c r="K74" s="1"/>
      <c r="L74" s="1"/>
      <c r="M74" s="1"/>
      <c r="N74" s="1"/>
    </row>
    <row r="75" spans="1:14">
      <c r="A75" s="8" t="s">
        <v>20</v>
      </c>
      <c r="B75" s="9" t="s">
        <v>18</v>
      </c>
      <c r="C75" s="8" t="s">
        <v>16</v>
      </c>
      <c r="D75" s="11" t="s">
        <v>16</v>
      </c>
      <c r="E75" s="7" t="str">
        <f t="shared" si="4"/>
        <v>04030202</v>
      </c>
      <c r="F75" s="1" t="s">
        <v>278</v>
      </c>
      <c r="G75" s="1" t="str">
        <f t="shared" si="5"/>
        <v>抽屉03</v>
      </c>
      <c r="H75" t="str">
        <f t="shared" si="6"/>
        <v>行号02</v>
      </c>
      <c r="I75" s="1" t="str">
        <f t="shared" si="7"/>
        <v>序号02</v>
      </c>
      <c r="J75" s="22" t="s">
        <v>95</v>
      </c>
      <c r="K75" s="1"/>
      <c r="L75" s="1"/>
      <c r="M75" s="1"/>
      <c r="N75" s="1"/>
    </row>
    <row r="76" spans="1:14">
      <c r="A76" s="8" t="s">
        <v>20</v>
      </c>
      <c r="B76" s="9" t="s">
        <v>18</v>
      </c>
      <c r="C76" s="8" t="s">
        <v>16</v>
      </c>
      <c r="D76" s="11" t="s">
        <v>18</v>
      </c>
      <c r="E76" s="7" t="str">
        <f t="shared" si="4"/>
        <v>04030203</v>
      </c>
      <c r="F76" s="1" t="s">
        <v>278</v>
      </c>
      <c r="G76" s="1" t="str">
        <f t="shared" si="5"/>
        <v>抽屉03</v>
      </c>
      <c r="H76" t="str">
        <f t="shared" si="6"/>
        <v>行号02</v>
      </c>
      <c r="I76" s="1" t="str">
        <f t="shared" si="7"/>
        <v>序号03</v>
      </c>
      <c r="J76" s="22" t="s">
        <v>96</v>
      </c>
      <c r="K76" s="1"/>
      <c r="L76" s="1"/>
      <c r="M76" s="1"/>
      <c r="N76" s="1"/>
    </row>
    <row r="77" spans="1:14">
      <c r="A77" s="8" t="s">
        <v>20</v>
      </c>
      <c r="B77" s="9" t="s">
        <v>18</v>
      </c>
      <c r="C77" s="8" t="s">
        <v>16</v>
      </c>
      <c r="D77" s="11" t="s">
        <v>20</v>
      </c>
      <c r="E77" s="7" t="str">
        <f t="shared" si="4"/>
        <v>04030204</v>
      </c>
      <c r="F77" s="1" t="s">
        <v>278</v>
      </c>
      <c r="G77" s="1" t="str">
        <f t="shared" si="5"/>
        <v>抽屉03</v>
      </c>
      <c r="H77" t="str">
        <f t="shared" si="6"/>
        <v>行号02</v>
      </c>
      <c r="I77" s="1" t="str">
        <f t="shared" si="7"/>
        <v>序号04</v>
      </c>
      <c r="J77" s="22" t="s">
        <v>97</v>
      </c>
      <c r="K77" s="1"/>
      <c r="L77" s="1"/>
      <c r="M77" s="1"/>
      <c r="N77" s="1"/>
    </row>
    <row r="78" spans="1:14">
      <c r="A78" s="8" t="s">
        <v>20</v>
      </c>
      <c r="B78" s="9" t="s">
        <v>18</v>
      </c>
      <c r="C78" s="8" t="s">
        <v>16</v>
      </c>
      <c r="D78" s="11" t="s">
        <v>22</v>
      </c>
      <c r="E78" s="7" t="str">
        <f t="shared" si="4"/>
        <v>04030205</v>
      </c>
      <c r="F78" s="1" t="s">
        <v>278</v>
      </c>
      <c r="G78" s="1" t="str">
        <f t="shared" si="5"/>
        <v>抽屉03</v>
      </c>
      <c r="H78" t="str">
        <f t="shared" si="6"/>
        <v>行号02</v>
      </c>
      <c r="I78" s="1" t="str">
        <f t="shared" si="7"/>
        <v>序号05</v>
      </c>
      <c r="J78" s="22" t="s">
        <v>98</v>
      </c>
      <c r="K78" s="1"/>
      <c r="L78" s="1"/>
      <c r="M78" s="1"/>
      <c r="N78" s="1"/>
    </row>
    <row r="79" spans="1:14">
      <c r="A79" s="8" t="s">
        <v>20</v>
      </c>
      <c r="B79" s="9" t="s">
        <v>18</v>
      </c>
      <c r="C79" s="8" t="s">
        <v>16</v>
      </c>
      <c r="D79" s="11" t="s">
        <v>24</v>
      </c>
      <c r="E79" s="7" t="str">
        <f t="shared" si="4"/>
        <v>04030206</v>
      </c>
      <c r="F79" s="1" t="s">
        <v>278</v>
      </c>
      <c r="G79" s="1" t="str">
        <f t="shared" si="5"/>
        <v>抽屉03</v>
      </c>
      <c r="H79" t="str">
        <f t="shared" si="6"/>
        <v>行号02</v>
      </c>
      <c r="I79" s="1" t="str">
        <f t="shared" si="7"/>
        <v>序号06</v>
      </c>
      <c r="J79" s="22" t="s">
        <v>99</v>
      </c>
      <c r="K79" s="1"/>
      <c r="L79" s="1"/>
      <c r="M79" s="1"/>
      <c r="N79" s="1"/>
    </row>
    <row r="80" spans="1:14">
      <c r="A80" s="8" t="s">
        <v>20</v>
      </c>
      <c r="B80" s="9" t="s">
        <v>18</v>
      </c>
      <c r="C80" s="8" t="s">
        <v>16</v>
      </c>
      <c r="D80" s="11" t="s">
        <v>26</v>
      </c>
      <c r="E80" s="7" t="str">
        <f t="shared" si="4"/>
        <v>04030207</v>
      </c>
      <c r="F80" s="1" t="s">
        <v>278</v>
      </c>
      <c r="G80" s="1" t="str">
        <f t="shared" si="5"/>
        <v>抽屉03</v>
      </c>
      <c r="H80" t="str">
        <f t="shared" si="6"/>
        <v>行号02</v>
      </c>
      <c r="I80" s="1" t="str">
        <f t="shared" si="7"/>
        <v>序号07</v>
      </c>
      <c r="J80" s="22" t="s">
        <v>100</v>
      </c>
      <c r="K80" s="1"/>
      <c r="L80" s="1"/>
      <c r="M80" s="1"/>
      <c r="N80" s="1"/>
    </row>
    <row r="81" spans="1:14">
      <c r="A81" s="8" t="s">
        <v>20</v>
      </c>
      <c r="B81" s="9" t="s">
        <v>18</v>
      </c>
      <c r="C81" s="8" t="s">
        <v>16</v>
      </c>
      <c r="D81" s="11" t="s">
        <v>28</v>
      </c>
      <c r="E81" s="7" t="str">
        <f t="shared" si="4"/>
        <v>04030208</v>
      </c>
      <c r="F81" s="1" t="s">
        <v>278</v>
      </c>
      <c r="G81" s="1" t="str">
        <f t="shared" si="5"/>
        <v>抽屉03</v>
      </c>
      <c r="H81" t="str">
        <f t="shared" si="6"/>
        <v>行号02</v>
      </c>
      <c r="I81" s="1" t="str">
        <f t="shared" si="7"/>
        <v>序号08</v>
      </c>
      <c r="J81" s="22" t="s">
        <v>101</v>
      </c>
      <c r="K81" s="1"/>
      <c r="L81" s="1"/>
      <c r="M81" s="1"/>
      <c r="N81" s="1"/>
    </row>
    <row r="82" spans="1:14">
      <c r="A82" s="8" t="s">
        <v>20</v>
      </c>
      <c r="B82" s="9" t="s">
        <v>18</v>
      </c>
      <c r="C82" s="10" t="s">
        <v>18</v>
      </c>
      <c r="D82" s="8" t="s">
        <v>14</v>
      </c>
      <c r="E82" s="7" t="str">
        <f t="shared" si="4"/>
        <v>04030301</v>
      </c>
      <c r="F82" s="1" t="s">
        <v>278</v>
      </c>
      <c r="G82" s="1" t="str">
        <f t="shared" si="5"/>
        <v>抽屉03</v>
      </c>
      <c r="H82" t="str">
        <f t="shared" si="6"/>
        <v>行号03</v>
      </c>
      <c r="I82" s="1" t="str">
        <f t="shared" si="7"/>
        <v>序号01</v>
      </c>
      <c r="J82" s="22" t="s">
        <v>102</v>
      </c>
      <c r="K82" s="1"/>
      <c r="L82" s="1"/>
      <c r="M82" s="1"/>
      <c r="N82" s="1"/>
    </row>
    <row r="83" spans="1:14">
      <c r="A83" s="8" t="s">
        <v>20</v>
      </c>
      <c r="B83" s="9" t="s">
        <v>18</v>
      </c>
      <c r="C83" s="10" t="s">
        <v>18</v>
      </c>
      <c r="D83" s="8" t="s">
        <v>16</v>
      </c>
      <c r="E83" s="7" t="str">
        <f t="shared" si="4"/>
        <v>04030302</v>
      </c>
      <c r="F83" s="1" t="s">
        <v>278</v>
      </c>
      <c r="G83" s="1" t="str">
        <f t="shared" si="5"/>
        <v>抽屉03</v>
      </c>
      <c r="H83" t="str">
        <f t="shared" si="6"/>
        <v>行号03</v>
      </c>
      <c r="I83" s="1" t="str">
        <f t="shared" si="7"/>
        <v>序号02</v>
      </c>
      <c r="J83" s="22" t="s">
        <v>103</v>
      </c>
      <c r="K83" s="1"/>
      <c r="L83" s="1"/>
      <c r="M83" s="1"/>
      <c r="N83" s="1"/>
    </row>
    <row r="84" spans="1:14">
      <c r="A84" s="8" t="s">
        <v>20</v>
      </c>
      <c r="B84" s="9" t="s">
        <v>18</v>
      </c>
      <c r="C84" s="10" t="s">
        <v>18</v>
      </c>
      <c r="D84" s="8" t="s">
        <v>18</v>
      </c>
      <c r="E84" s="7" t="str">
        <f t="shared" si="4"/>
        <v>04030303</v>
      </c>
      <c r="F84" s="1" t="s">
        <v>278</v>
      </c>
      <c r="G84" s="1" t="str">
        <f t="shared" si="5"/>
        <v>抽屉03</v>
      </c>
      <c r="H84" t="str">
        <f t="shared" si="6"/>
        <v>行号03</v>
      </c>
      <c r="I84" s="1" t="str">
        <f t="shared" si="7"/>
        <v>序号03</v>
      </c>
      <c r="J84" s="22" t="s">
        <v>104</v>
      </c>
      <c r="K84" s="1"/>
      <c r="L84" s="1"/>
      <c r="M84" s="1"/>
      <c r="N84" s="1"/>
    </row>
    <row r="85" spans="1:14">
      <c r="A85" s="8" t="s">
        <v>20</v>
      </c>
      <c r="B85" s="9" t="s">
        <v>18</v>
      </c>
      <c r="C85" s="10" t="s">
        <v>18</v>
      </c>
      <c r="D85" s="8" t="s">
        <v>20</v>
      </c>
      <c r="E85" s="7" t="str">
        <f t="shared" si="4"/>
        <v>04030304</v>
      </c>
      <c r="F85" s="1" t="s">
        <v>278</v>
      </c>
      <c r="G85" s="1" t="str">
        <f t="shared" si="5"/>
        <v>抽屉03</v>
      </c>
      <c r="H85" t="str">
        <f t="shared" si="6"/>
        <v>行号03</v>
      </c>
      <c r="I85" s="1" t="str">
        <f t="shared" si="7"/>
        <v>序号04</v>
      </c>
      <c r="J85" s="22" t="s">
        <v>105</v>
      </c>
      <c r="K85" s="1"/>
      <c r="L85" s="1"/>
      <c r="M85" s="1"/>
      <c r="N85" s="1"/>
    </row>
    <row r="86" spans="1:14">
      <c r="A86" s="8" t="s">
        <v>20</v>
      </c>
      <c r="B86" s="9" t="s">
        <v>18</v>
      </c>
      <c r="C86" s="10" t="s">
        <v>18</v>
      </c>
      <c r="D86" s="8" t="s">
        <v>22</v>
      </c>
      <c r="E86" s="7" t="str">
        <f t="shared" si="4"/>
        <v>04030305</v>
      </c>
      <c r="F86" s="1" t="s">
        <v>278</v>
      </c>
      <c r="G86" s="1" t="str">
        <f t="shared" si="5"/>
        <v>抽屉03</v>
      </c>
      <c r="H86" t="str">
        <f t="shared" si="6"/>
        <v>行号03</v>
      </c>
      <c r="I86" s="1" t="str">
        <f t="shared" si="7"/>
        <v>序号05</v>
      </c>
      <c r="J86" s="22" t="s">
        <v>106</v>
      </c>
      <c r="K86" s="1"/>
      <c r="L86" s="1"/>
      <c r="M86" s="1"/>
      <c r="N86" s="1"/>
    </row>
    <row r="87" spans="1:14">
      <c r="A87" s="8" t="s">
        <v>20</v>
      </c>
      <c r="B87" s="9" t="s">
        <v>18</v>
      </c>
      <c r="C87" s="10" t="s">
        <v>18</v>
      </c>
      <c r="D87" s="8" t="s">
        <v>24</v>
      </c>
      <c r="E87" s="7" t="str">
        <f t="shared" si="4"/>
        <v>04030306</v>
      </c>
      <c r="F87" s="1" t="s">
        <v>278</v>
      </c>
      <c r="G87" s="1" t="str">
        <f t="shared" si="5"/>
        <v>抽屉03</v>
      </c>
      <c r="H87" t="str">
        <f t="shared" si="6"/>
        <v>行号03</v>
      </c>
      <c r="I87" s="1" t="str">
        <f t="shared" si="7"/>
        <v>序号06</v>
      </c>
      <c r="J87" s="22" t="s">
        <v>107</v>
      </c>
      <c r="K87" s="1"/>
      <c r="L87" s="1"/>
      <c r="M87" s="1"/>
      <c r="N87" s="1"/>
    </row>
    <row r="88" spans="1:14">
      <c r="A88" s="8" t="s">
        <v>20</v>
      </c>
      <c r="B88" s="9" t="s">
        <v>18</v>
      </c>
      <c r="C88" s="10" t="s">
        <v>18</v>
      </c>
      <c r="D88" s="8" t="s">
        <v>26</v>
      </c>
      <c r="E88" s="7" t="str">
        <f t="shared" si="4"/>
        <v>04030307</v>
      </c>
      <c r="F88" s="1" t="s">
        <v>278</v>
      </c>
      <c r="G88" s="1" t="str">
        <f t="shared" si="5"/>
        <v>抽屉03</v>
      </c>
      <c r="H88" t="str">
        <f t="shared" si="6"/>
        <v>行号03</v>
      </c>
      <c r="I88" s="1" t="str">
        <f t="shared" si="7"/>
        <v>序号07</v>
      </c>
      <c r="J88" s="22" t="s">
        <v>108</v>
      </c>
      <c r="K88" s="1"/>
      <c r="L88" s="1"/>
      <c r="M88" s="1"/>
      <c r="N88" s="1"/>
    </row>
    <row r="89" spans="1:14">
      <c r="A89" s="8" t="s">
        <v>20</v>
      </c>
      <c r="B89" s="9" t="s">
        <v>18</v>
      </c>
      <c r="C89" s="10" t="s">
        <v>18</v>
      </c>
      <c r="D89" s="8" t="s">
        <v>28</v>
      </c>
      <c r="E89" s="7" t="str">
        <f t="shared" si="4"/>
        <v>04030308</v>
      </c>
      <c r="F89" s="1" t="s">
        <v>278</v>
      </c>
      <c r="G89" s="1" t="str">
        <f t="shared" si="5"/>
        <v>抽屉03</v>
      </c>
      <c r="H89" t="str">
        <f t="shared" si="6"/>
        <v>行号03</v>
      </c>
      <c r="I89" s="1" t="str">
        <f t="shared" si="7"/>
        <v>序号08</v>
      </c>
      <c r="J89" s="22" t="s">
        <v>109</v>
      </c>
      <c r="K89" s="1"/>
      <c r="L89" s="1"/>
      <c r="M89" s="1"/>
      <c r="N89" s="1"/>
    </row>
    <row r="90" spans="1:14">
      <c r="A90" s="8" t="s">
        <v>20</v>
      </c>
      <c r="B90" s="9" t="s">
        <v>18</v>
      </c>
      <c r="C90" s="8" t="s">
        <v>20</v>
      </c>
      <c r="D90" s="11" t="s">
        <v>14</v>
      </c>
      <c r="E90" s="7" t="str">
        <f t="shared" si="4"/>
        <v>04030401</v>
      </c>
      <c r="F90" s="1" t="s">
        <v>278</v>
      </c>
      <c r="G90" s="1" t="str">
        <f t="shared" si="5"/>
        <v>抽屉03</v>
      </c>
      <c r="H90" t="str">
        <f t="shared" si="6"/>
        <v>行号04</v>
      </c>
      <c r="I90" s="1" t="str">
        <f t="shared" si="7"/>
        <v>序号01</v>
      </c>
      <c r="J90" s="22" t="s">
        <v>110</v>
      </c>
      <c r="K90" s="1"/>
      <c r="L90" s="1"/>
      <c r="M90" s="1"/>
      <c r="N90" s="1"/>
    </row>
    <row r="91" spans="1:14">
      <c r="A91" s="8" t="s">
        <v>20</v>
      </c>
      <c r="B91" s="9" t="s">
        <v>18</v>
      </c>
      <c r="C91" s="8" t="s">
        <v>20</v>
      </c>
      <c r="D91" s="11" t="s">
        <v>16</v>
      </c>
      <c r="E91" s="7" t="str">
        <f t="shared" si="4"/>
        <v>04030402</v>
      </c>
      <c r="F91" s="1" t="s">
        <v>278</v>
      </c>
      <c r="G91" s="1" t="str">
        <f t="shared" si="5"/>
        <v>抽屉03</v>
      </c>
      <c r="H91" t="str">
        <f t="shared" si="6"/>
        <v>行号04</v>
      </c>
      <c r="I91" s="1" t="str">
        <f t="shared" si="7"/>
        <v>序号02</v>
      </c>
      <c r="J91" s="22" t="s">
        <v>111</v>
      </c>
      <c r="K91" s="1"/>
      <c r="L91" s="1"/>
      <c r="M91" s="1"/>
      <c r="N91" s="1"/>
    </row>
    <row r="92" spans="1:14">
      <c r="A92" s="8" t="s">
        <v>20</v>
      </c>
      <c r="B92" s="9" t="s">
        <v>18</v>
      </c>
      <c r="C92" s="8" t="s">
        <v>20</v>
      </c>
      <c r="D92" s="11" t="s">
        <v>18</v>
      </c>
      <c r="E92" s="7" t="str">
        <f t="shared" si="4"/>
        <v>04030403</v>
      </c>
      <c r="F92" s="1" t="s">
        <v>278</v>
      </c>
      <c r="G92" s="1" t="str">
        <f t="shared" si="5"/>
        <v>抽屉03</v>
      </c>
      <c r="H92" t="str">
        <f t="shared" si="6"/>
        <v>行号04</v>
      </c>
      <c r="I92" s="1" t="str">
        <f t="shared" si="7"/>
        <v>序号03</v>
      </c>
      <c r="J92" s="22" t="s">
        <v>112</v>
      </c>
      <c r="K92" s="1"/>
      <c r="L92" s="1"/>
      <c r="M92" s="1"/>
      <c r="N92" s="1"/>
    </row>
    <row r="93" spans="1:14">
      <c r="A93" s="8" t="s">
        <v>20</v>
      </c>
      <c r="B93" s="9" t="s">
        <v>18</v>
      </c>
      <c r="C93" s="8" t="s">
        <v>20</v>
      </c>
      <c r="D93" s="11" t="s">
        <v>20</v>
      </c>
      <c r="E93" s="7" t="str">
        <f t="shared" si="4"/>
        <v>04030404</v>
      </c>
      <c r="F93" s="1" t="s">
        <v>278</v>
      </c>
      <c r="G93" s="1" t="str">
        <f t="shared" si="5"/>
        <v>抽屉03</v>
      </c>
      <c r="H93" t="str">
        <f t="shared" si="6"/>
        <v>行号04</v>
      </c>
      <c r="I93" s="1" t="str">
        <f t="shared" si="7"/>
        <v>序号04</v>
      </c>
      <c r="J93" s="22" t="s">
        <v>113</v>
      </c>
      <c r="K93" s="1"/>
      <c r="L93" s="1"/>
      <c r="M93" s="1"/>
      <c r="N93" s="1"/>
    </row>
    <row r="94" spans="1:14">
      <c r="A94" s="8" t="s">
        <v>20</v>
      </c>
      <c r="B94" s="9" t="s">
        <v>18</v>
      </c>
      <c r="C94" s="8" t="s">
        <v>20</v>
      </c>
      <c r="D94" s="11" t="s">
        <v>22</v>
      </c>
      <c r="E94" s="7" t="str">
        <f t="shared" si="4"/>
        <v>04030405</v>
      </c>
      <c r="F94" s="1" t="s">
        <v>278</v>
      </c>
      <c r="G94" s="1" t="str">
        <f t="shared" si="5"/>
        <v>抽屉03</v>
      </c>
      <c r="H94" t="str">
        <f t="shared" si="6"/>
        <v>行号04</v>
      </c>
      <c r="I94" s="1" t="str">
        <f t="shared" si="7"/>
        <v>序号05</v>
      </c>
      <c r="J94" s="22" t="s">
        <v>114</v>
      </c>
      <c r="K94" s="1"/>
      <c r="L94" s="1"/>
      <c r="M94" s="1"/>
      <c r="N94" s="1"/>
    </row>
    <row r="95" spans="1:14">
      <c r="A95" s="8" t="s">
        <v>20</v>
      </c>
      <c r="B95" s="9" t="s">
        <v>18</v>
      </c>
      <c r="C95" s="8" t="s">
        <v>20</v>
      </c>
      <c r="D95" s="11" t="s">
        <v>24</v>
      </c>
      <c r="E95" s="7" t="str">
        <f t="shared" si="4"/>
        <v>04030406</v>
      </c>
      <c r="F95" s="1" t="s">
        <v>278</v>
      </c>
      <c r="G95" s="1" t="str">
        <f t="shared" si="5"/>
        <v>抽屉03</v>
      </c>
      <c r="H95" t="str">
        <f t="shared" si="6"/>
        <v>行号04</v>
      </c>
      <c r="I95" s="1" t="str">
        <f t="shared" si="7"/>
        <v>序号06</v>
      </c>
      <c r="J95" s="22" t="s">
        <v>115</v>
      </c>
      <c r="K95" s="1"/>
      <c r="L95" s="1"/>
      <c r="M95" s="1"/>
      <c r="N95" s="1"/>
    </row>
    <row r="96" spans="1:14">
      <c r="A96" s="8" t="s">
        <v>20</v>
      </c>
      <c r="B96" s="9" t="s">
        <v>18</v>
      </c>
      <c r="C96" s="8" t="s">
        <v>20</v>
      </c>
      <c r="D96" s="11" t="s">
        <v>26</v>
      </c>
      <c r="E96" s="7" t="str">
        <f t="shared" si="4"/>
        <v>04030407</v>
      </c>
      <c r="F96" s="1" t="s">
        <v>278</v>
      </c>
      <c r="G96" s="1" t="str">
        <f t="shared" si="5"/>
        <v>抽屉03</v>
      </c>
      <c r="H96" t="str">
        <f t="shared" si="6"/>
        <v>行号04</v>
      </c>
      <c r="I96" s="1" t="str">
        <f t="shared" si="7"/>
        <v>序号07</v>
      </c>
      <c r="J96" s="22" t="s">
        <v>116</v>
      </c>
      <c r="K96" s="1"/>
      <c r="L96" s="1"/>
      <c r="M96" s="1"/>
      <c r="N96" s="1"/>
    </row>
    <row r="97" spans="1:14">
      <c r="A97" s="8" t="s">
        <v>20</v>
      </c>
      <c r="B97" s="9" t="s">
        <v>18</v>
      </c>
      <c r="C97" s="8" t="s">
        <v>20</v>
      </c>
      <c r="D97" s="11" t="s">
        <v>28</v>
      </c>
      <c r="E97" s="7" t="str">
        <f t="shared" si="4"/>
        <v>04030408</v>
      </c>
      <c r="F97" s="1" t="s">
        <v>278</v>
      </c>
      <c r="G97" s="1" t="str">
        <f t="shared" si="5"/>
        <v>抽屉03</v>
      </c>
      <c r="H97" t="str">
        <f t="shared" si="6"/>
        <v>行号04</v>
      </c>
      <c r="I97" s="1" t="str">
        <f t="shared" si="7"/>
        <v>序号08</v>
      </c>
      <c r="J97" s="22" t="s">
        <v>117</v>
      </c>
      <c r="K97" s="1"/>
      <c r="L97" s="1"/>
      <c r="M97" s="1"/>
      <c r="N97" s="1"/>
    </row>
    <row r="98" spans="1:14">
      <c r="A98" s="8" t="s">
        <v>20</v>
      </c>
      <c r="B98" s="8" t="s">
        <v>20</v>
      </c>
      <c r="C98" s="10" t="s">
        <v>14</v>
      </c>
      <c r="D98" s="8" t="s">
        <v>14</v>
      </c>
      <c r="E98" s="7" t="str">
        <f t="shared" si="4"/>
        <v>04040101</v>
      </c>
      <c r="F98" s="1" t="s">
        <v>278</v>
      </c>
      <c r="G98" s="1" t="str">
        <f t="shared" si="5"/>
        <v>抽屉04</v>
      </c>
      <c r="H98" t="str">
        <f t="shared" si="6"/>
        <v>行号01</v>
      </c>
      <c r="I98" s="1" t="str">
        <f t="shared" si="7"/>
        <v>序号01</v>
      </c>
      <c r="J98" s="22" t="s">
        <v>118</v>
      </c>
      <c r="K98" s="1"/>
      <c r="L98" s="1"/>
      <c r="M98" s="1"/>
      <c r="N98" s="1"/>
    </row>
    <row r="99" spans="1:14">
      <c r="A99" s="8" t="s">
        <v>20</v>
      </c>
      <c r="B99" s="8" t="s">
        <v>20</v>
      </c>
      <c r="C99" s="10" t="s">
        <v>14</v>
      </c>
      <c r="D99" s="8" t="s">
        <v>16</v>
      </c>
      <c r="E99" s="7" t="str">
        <f t="shared" si="4"/>
        <v>04040102</v>
      </c>
      <c r="F99" s="1" t="s">
        <v>278</v>
      </c>
      <c r="G99" s="1" t="str">
        <f t="shared" si="5"/>
        <v>抽屉04</v>
      </c>
      <c r="H99" t="str">
        <f t="shared" si="6"/>
        <v>行号01</v>
      </c>
      <c r="I99" s="1" t="str">
        <f t="shared" si="7"/>
        <v>序号02</v>
      </c>
      <c r="J99" s="22" t="s">
        <v>119</v>
      </c>
      <c r="K99" s="1"/>
      <c r="L99" s="1"/>
      <c r="M99" s="1"/>
      <c r="N99" s="1"/>
    </row>
    <row r="100" spans="1:14">
      <c r="A100" s="8" t="s">
        <v>20</v>
      </c>
      <c r="B100" s="8" t="s">
        <v>20</v>
      </c>
      <c r="C100" s="10" t="s">
        <v>14</v>
      </c>
      <c r="D100" s="8" t="s">
        <v>18</v>
      </c>
      <c r="E100" s="7" t="str">
        <f t="shared" si="4"/>
        <v>04040103</v>
      </c>
      <c r="F100" s="1" t="s">
        <v>278</v>
      </c>
      <c r="G100" s="1" t="str">
        <f t="shared" si="5"/>
        <v>抽屉04</v>
      </c>
      <c r="H100" t="str">
        <f t="shared" si="6"/>
        <v>行号01</v>
      </c>
      <c r="I100" s="1" t="str">
        <f t="shared" si="7"/>
        <v>序号03</v>
      </c>
      <c r="J100" s="22" t="s">
        <v>120</v>
      </c>
      <c r="K100" s="1"/>
      <c r="L100" s="1"/>
      <c r="M100" s="1"/>
      <c r="N100" s="1"/>
    </row>
    <row r="101" spans="1:14">
      <c r="A101" s="8" t="s">
        <v>20</v>
      </c>
      <c r="B101" s="8" t="s">
        <v>20</v>
      </c>
      <c r="C101" s="10" t="s">
        <v>14</v>
      </c>
      <c r="D101" s="8" t="s">
        <v>20</v>
      </c>
      <c r="E101" s="7" t="str">
        <f t="shared" si="4"/>
        <v>04040104</v>
      </c>
      <c r="F101" s="1" t="s">
        <v>278</v>
      </c>
      <c r="G101" s="1" t="str">
        <f t="shared" si="5"/>
        <v>抽屉04</v>
      </c>
      <c r="H101" t="str">
        <f t="shared" si="6"/>
        <v>行号01</v>
      </c>
      <c r="I101" s="1" t="str">
        <f t="shared" si="7"/>
        <v>序号04</v>
      </c>
      <c r="J101" s="22" t="s">
        <v>121</v>
      </c>
      <c r="K101" s="1"/>
      <c r="L101" s="1"/>
      <c r="M101" s="1"/>
      <c r="N101" s="1"/>
    </row>
    <row r="102" spans="1:14">
      <c r="A102" s="8" t="s">
        <v>20</v>
      </c>
      <c r="B102" s="8" t="s">
        <v>20</v>
      </c>
      <c r="C102" s="10" t="s">
        <v>14</v>
      </c>
      <c r="D102" s="8" t="s">
        <v>22</v>
      </c>
      <c r="E102" s="7" t="str">
        <f t="shared" si="4"/>
        <v>04040105</v>
      </c>
      <c r="F102" s="1" t="s">
        <v>278</v>
      </c>
      <c r="G102" s="1" t="str">
        <f t="shared" si="5"/>
        <v>抽屉04</v>
      </c>
      <c r="H102" t="str">
        <f t="shared" si="6"/>
        <v>行号01</v>
      </c>
      <c r="I102" s="1" t="str">
        <f t="shared" si="7"/>
        <v>序号05</v>
      </c>
      <c r="J102" s="22" t="s">
        <v>122</v>
      </c>
      <c r="K102" s="1"/>
      <c r="L102" s="1"/>
      <c r="M102" s="1"/>
      <c r="N102" s="1"/>
    </row>
    <row r="103" spans="1:14">
      <c r="A103" s="8" t="s">
        <v>20</v>
      </c>
      <c r="B103" s="8" t="s">
        <v>20</v>
      </c>
      <c r="C103" s="10" t="s">
        <v>14</v>
      </c>
      <c r="D103" s="8" t="s">
        <v>24</v>
      </c>
      <c r="E103" s="7" t="str">
        <f t="shared" si="4"/>
        <v>04040106</v>
      </c>
      <c r="F103" s="1" t="s">
        <v>278</v>
      </c>
      <c r="G103" s="1" t="str">
        <f t="shared" si="5"/>
        <v>抽屉04</v>
      </c>
      <c r="H103" t="str">
        <f t="shared" si="6"/>
        <v>行号01</v>
      </c>
      <c r="I103" s="1" t="str">
        <f t="shared" si="7"/>
        <v>序号06</v>
      </c>
      <c r="J103" s="22" t="s">
        <v>123</v>
      </c>
      <c r="K103" s="1"/>
      <c r="L103" s="1"/>
      <c r="M103" s="1"/>
      <c r="N103" s="1"/>
    </row>
    <row r="104" spans="1:14">
      <c r="A104" s="8" t="s">
        <v>20</v>
      </c>
      <c r="B104" s="8" t="s">
        <v>20</v>
      </c>
      <c r="C104" s="10" t="s">
        <v>14</v>
      </c>
      <c r="D104" s="8" t="s">
        <v>26</v>
      </c>
      <c r="E104" s="7" t="str">
        <f t="shared" si="4"/>
        <v>04040107</v>
      </c>
      <c r="F104" s="1" t="s">
        <v>278</v>
      </c>
      <c r="G104" s="1" t="str">
        <f t="shared" si="5"/>
        <v>抽屉04</v>
      </c>
      <c r="H104" t="str">
        <f t="shared" si="6"/>
        <v>行号01</v>
      </c>
      <c r="I104" s="1" t="str">
        <f t="shared" si="7"/>
        <v>序号07</v>
      </c>
      <c r="J104" s="22" t="s">
        <v>124</v>
      </c>
      <c r="K104" s="1"/>
      <c r="L104" s="1"/>
      <c r="M104" s="1"/>
      <c r="N104" s="1"/>
    </row>
    <row r="105" spans="1:14">
      <c r="A105" s="8" t="s">
        <v>20</v>
      </c>
      <c r="B105" s="8" t="s">
        <v>20</v>
      </c>
      <c r="C105" s="10" t="s">
        <v>14</v>
      </c>
      <c r="D105" s="8" t="s">
        <v>28</v>
      </c>
      <c r="E105" s="7" t="str">
        <f t="shared" si="4"/>
        <v>04040108</v>
      </c>
      <c r="F105" s="1" t="s">
        <v>278</v>
      </c>
      <c r="G105" s="1" t="str">
        <f t="shared" si="5"/>
        <v>抽屉04</v>
      </c>
      <c r="H105" t="str">
        <f t="shared" si="6"/>
        <v>行号01</v>
      </c>
      <c r="I105" s="1" t="str">
        <f t="shared" si="7"/>
        <v>序号08</v>
      </c>
      <c r="J105" s="22" t="s">
        <v>125</v>
      </c>
      <c r="K105" s="1"/>
      <c r="L105" s="1"/>
      <c r="M105" s="1"/>
      <c r="N105" s="1"/>
    </row>
    <row r="106" spans="1:14">
      <c r="A106" s="8" t="s">
        <v>20</v>
      </c>
      <c r="B106" s="8" t="s">
        <v>20</v>
      </c>
      <c r="C106" s="8" t="s">
        <v>16</v>
      </c>
      <c r="D106" s="11" t="s">
        <v>14</v>
      </c>
      <c r="E106" s="7" t="str">
        <f t="shared" si="4"/>
        <v>04040201</v>
      </c>
      <c r="F106" s="1" t="s">
        <v>278</v>
      </c>
      <c r="G106" s="1" t="str">
        <f t="shared" si="5"/>
        <v>抽屉04</v>
      </c>
      <c r="H106" t="str">
        <f t="shared" si="6"/>
        <v>行号02</v>
      </c>
      <c r="I106" s="1" t="str">
        <f t="shared" si="7"/>
        <v>序号01</v>
      </c>
      <c r="J106" s="22" t="s">
        <v>126</v>
      </c>
      <c r="K106" s="1"/>
      <c r="L106" s="1"/>
      <c r="M106" s="1"/>
      <c r="N106" s="1"/>
    </row>
    <row r="107" spans="1:14">
      <c r="A107" s="8" t="s">
        <v>20</v>
      </c>
      <c r="B107" s="8" t="s">
        <v>20</v>
      </c>
      <c r="C107" s="8" t="s">
        <v>16</v>
      </c>
      <c r="D107" s="11" t="s">
        <v>16</v>
      </c>
      <c r="E107" s="7" t="str">
        <f t="shared" si="4"/>
        <v>04040202</v>
      </c>
      <c r="F107" s="1" t="s">
        <v>278</v>
      </c>
      <c r="G107" s="1" t="str">
        <f t="shared" si="5"/>
        <v>抽屉04</v>
      </c>
      <c r="H107" t="str">
        <f t="shared" si="6"/>
        <v>行号02</v>
      </c>
      <c r="I107" s="1" t="str">
        <f t="shared" si="7"/>
        <v>序号02</v>
      </c>
      <c r="J107" s="22" t="s">
        <v>127</v>
      </c>
      <c r="K107" s="1"/>
      <c r="L107" s="1"/>
      <c r="M107" s="1"/>
      <c r="N107" s="1"/>
    </row>
    <row r="108" spans="1:14">
      <c r="A108" s="8" t="s">
        <v>20</v>
      </c>
      <c r="B108" s="8" t="s">
        <v>20</v>
      </c>
      <c r="C108" s="8" t="s">
        <v>16</v>
      </c>
      <c r="D108" s="11" t="s">
        <v>18</v>
      </c>
      <c r="E108" s="7" t="str">
        <f t="shared" si="4"/>
        <v>04040203</v>
      </c>
      <c r="F108" s="1" t="s">
        <v>278</v>
      </c>
      <c r="G108" s="1" t="str">
        <f t="shared" si="5"/>
        <v>抽屉04</v>
      </c>
      <c r="H108" t="str">
        <f t="shared" si="6"/>
        <v>行号02</v>
      </c>
      <c r="I108" s="1" t="str">
        <f t="shared" si="7"/>
        <v>序号03</v>
      </c>
      <c r="J108" s="22" t="s">
        <v>128</v>
      </c>
      <c r="K108" s="1"/>
      <c r="L108" s="1"/>
      <c r="M108" s="1"/>
      <c r="N108" s="1"/>
    </row>
    <row r="109" spans="1:14">
      <c r="A109" s="8" t="s">
        <v>20</v>
      </c>
      <c r="B109" s="8" t="s">
        <v>20</v>
      </c>
      <c r="C109" s="8" t="s">
        <v>16</v>
      </c>
      <c r="D109" s="11" t="s">
        <v>20</v>
      </c>
      <c r="E109" s="7" t="str">
        <f t="shared" si="4"/>
        <v>04040204</v>
      </c>
      <c r="F109" s="1" t="s">
        <v>278</v>
      </c>
      <c r="G109" s="1" t="str">
        <f t="shared" si="5"/>
        <v>抽屉04</v>
      </c>
      <c r="H109" t="str">
        <f t="shared" si="6"/>
        <v>行号02</v>
      </c>
      <c r="I109" s="1" t="str">
        <f t="shared" si="7"/>
        <v>序号04</v>
      </c>
      <c r="J109" s="22" t="s">
        <v>129</v>
      </c>
      <c r="K109" s="1"/>
      <c r="L109" s="1"/>
      <c r="M109" s="1"/>
      <c r="N109" s="1"/>
    </row>
    <row r="110" spans="1:14">
      <c r="A110" s="8" t="s">
        <v>20</v>
      </c>
      <c r="B110" s="8" t="s">
        <v>20</v>
      </c>
      <c r="C110" s="8" t="s">
        <v>16</v>
      </c>
      <c r="D110" s="11" t="s">
        <v>22</v>
      </c>
      <c r="E110" s="7" t="str">
        <f t="shared" si="4"/>
        <v>04040205</v>
      </c>
      <c r="F110" s="1" t="s">
        <v>278</v>
      </c>
      <c r="G110" s="1" t="str">
        <f t="shared" si="5"/>
        <v>抽屉04</v>
      </c>
      <c r="H110" t="str">
        <f t="shared" si="6"/>
        <v>行号02</v>
      </c>
      <c r="I110" s="1" t="str">
        <f t="shared" si="7"/>
        <v>序号05</v>
      </c>
      <c r="J110" s="22" t="s">
        <v>130</v>
      </c>
      <c r="K110" s="1"/>
      <c r="L110" s="1"/>
      <c r="M110" s="1"/>
      <c r="N110" s="1"/>
    </row>
    <row r="111" spans="1:14">
      <c r="A111" s="8" t="s">
        <v>20</v>
      </c>
      <c r="B111" s="8" t="s">
        <v>20</v>
      </c>
      <c r="C111" s="8" t="s">
        <v>16</v>
      </c>
      <c r="D111" s="11" t="s">
        <v>24</v>
      </c>
      <c r="E111" s="7" t="str">
        <f t="shared" si="4"/>
        <v>04040206</v>
      </c>
      <c r="F111" s="1" t="s">
        <v>278</v>
      </c>
      <c r="G111" s="1" t="str">
        <f t="shared" si="5"/>
        <v>抽屉04</v>
      </c>
      <c r="H111" t="str">
        <f t="shared" si="6"/>
        <v>行号02</v>
      </c>
      <c r="I111" s="1" t="str">
        <f t="shared" si="7"/>
        <v>序号06</v>
      </c>
      <c r="J111" s="22" t="s">
        <v>131</v>
      </c>
      <c r="K111" s="1"/>
      <c r="L111" s="1"/>
      <c r="M111" s="1"/>
      <c r="N111" s="1"/>
    </row>
    <row r="112" spans="1:14">
      <c r="A112" s="8" t="s">
        <v>20</v>
      </c>
      <c r="B112" s="8" t="s">
        <v>20</v>
      </c>
      <c r="C112" s="8" t="s">
        <v>16</v>
      </c>
      <c r="D112" s="11" t="s">
        <v>26</v>
      </c>
      <c r="E112" s="7" t="str">
        <f t="shared" si="4"/>
        <v>04040207</v>
      </c>
      <c r="F112" s="1" t="s">
        <v>278</v>
      </c>
      <c r="G112" s="1" t="str">
        <f t="shared" si="5"/>
        <v>抽屉04</v>
      </c>
      <c r="H112" t="str">
        <f t="shared" si="6"/>
        <v>行号02</v>
      </c>
      <c r="I112" s="1" t="str">
        <f t="shared" si="7"/>
        <v>序号07</v>
      </c>
      <c r="J112" s="22" t="s">
        <v>132</v>
      </c>
      <c r="K112" s="1"/>
      <c r="L112" s="1"/>
      <c r="M112" s="1"/>
      <c r="N112" s="1"/>
    </row>
    <row r="113" spans="1:14">
      <c r="A113" s="8" t="s">
        <v>20</v>
      </c>
      <c r="B113" s="8" t="s">
        <v>20</v>
      </c>
      <c r="C113" s="8" t="s">
        <v>16</v>
      </c>
      <c r="D113" s="11" t="s">
        <v>28</v>
      </c>
      <c r="E113" s="7" t="str">
        <f t="shared" si="4"/>
        <v>04040208</v>
      </c>
      <c r="F113" s="1" t="s">
        <v>278</v>
      </c>
      <c r="G113" s="1" t="str">
        <f t="shared" si="5"/>
        <v>抽屉04</v>
      </c>
      <c r="H113" t="str">
        <f t="shared" si="6"/>
        <v>行号02</v>
      </c>
      <c r="I113" s="1" t="str">
        <f t="shared" si="7"/>
        <v>序号08</v>
      </c>
      <c r="J113" s="22" t="s">
        <v>133</v>
      </c>
      <c r="K113" s="1"/>
      <c r="L113" s="1"/>
      <c r="M113" s="1"/>
      <c r="N113" s="1"/>
    </row>
    <row r="114" spans="1:14">
      <c r="A114" s="8" t="s">
        <v>20</v>
      </c>
      <c r="B114" s="8" t="s">
        <v>20</v>
      </c>
      <c r="C114" s="10" t="s">
        <v>18</v>
      </c>
      <c r="D114" s="8" t="s">
        <v>14</v>
      </c>
      <c r="E114" s="7" t="str">
        <f t="shared" si="4"/>
        <v>04040301</v>
      </c>
      <c r="F114" s="1" t="s">
        <v>278</v>
      </c>
      <c r="G114" s="1" t="str">
        <f t="shared" si="5"/>
        <v>抽屉04</v>
      </c>
      <c r="H114" t="str">
        <f t="shared" si="6"/>
        <v>行号03</v>
      </c>
      <c r="I114" s="1" t="str">
        <f t="shared" si="7"/>
        <v>序号01</v>
      </c>
      <c r="J114" s="22" t="s">
        <v>134</v>
      </c>
      <c r="K114" s="1"/>
      <c r="L114" s="1"/>
      <c r="M114" s="1"/>
      <c r="N114" s="1"/>
    </row>
    <row r="115" spans="1:14">
      <c r="A115" s="8" t="s">
        <v>20</v>
      </c>
      <c r="B115" s="8" t="s">
        <v>20</v>
      </c>
      <c r="C115" s="10" t="s">
        <v>18</v>
      </c>
      <c r="D115" s="8" t="s">
        <v>16</v>
      </c>
      <c r="E115" s="7" t="str">
        <f t="shared" si="4"/>
        <v>04040302</v>
      </c>
      <c r="F115" s="1" t="s">
        <v>278</v>
      </c>
      <c r="G115" s="1" t="str">
        <f t="shared" si="5"/>
        <v>抽屉04</v>
      </c>
      <c r="H115" t="str">
        <f t="shared" si="6"/>
        <v>行号03</v>
      </c>
      <c r="I115" s="1" t="str">
        <f t="shared" si="7"/>
        <v>序号02</v>
      </c>
      <c r="J115" s="22" t="s">
        <v>135</v>
      </c>
      <c r="K115" s="1"/>
      <c r="L115" s="1"/>
      <c r="M115" s="1"/>
      <c r="N115" s="1"/>
    </row>
    <row r="116" spans="1:14">
      <c r="A116" s="8" t="s">
        <v>20</v>
      </c>
      <c r="B116" s="8" t="s">
        <v>20</v>
      </c>
      <c r="C116" s="10" t="s">
        <v>18</v>
      </c>
      <c r="D116" s="8" t="s">
        <v>18</v>
      </c>
      <c r="E116" s="7" t="str">
        <f t="shared" si="4"/>
        <v>04040303</v>
      </c>
      <c r="F116" s="1" t="s">
        <v>278</v>
      </c>
      <c r="G116" s="1" t="str">
        <f t="shared" si="5"/>
        <v>抽屉04</v>
      </c>
      <c r="H116" t="str">
        <f t="shared" si="6"/>
        <v>行号03</v>
      </c>
      <c r="I116" s="1" t="str">
        <f t="shared" si="7"/>
        <v>序号03</v>
      </c>
      <c r="J116" s="22" t="s">
        <v>136</v>
      </c>
      <c r="K116" s="1"/>
      <c r="L116" s="1"/>
      <c r="M116" s="1"/>
      <c r="N116" s="1"/>
    </row>
    <row r="117" spans="1:14">
      <c r="A117" s="8" t="s">
        <v>20</v>
      </c>
      <c r="B117" s="8" t="s">
        <v>20</v>
      </c>
      <c r="C117" s="10" t="s">
        <v>18</v>
      </c>
      <c r="D117" s="8" t="s">
        <v>20</v>
      </c>
      <c r="E117" s="7" t="str">
        <f t="shared" si="4"/>
        <v>04040304</v>
      </c>
      <c r="F117" s="1" t="s">
        <v>278</v>
      </c>
      <c r="G117" s="1" t="str">
        <f t="shared" si="5"/>
        <v>抽屉04</v>
      </c>
      <c r="H117" t="str">
        <f t="shared" si="6"/>
        <v>行号03</v>
      </c>
      <c r="I117" s="1" t="str">
        <f t="shared" si="7"/>
        <v>序号04</v>
      </c>
      <c r="J117" s="22" t="s">
        <v>137</v>
      </c>
      <c r="K117" s="1"/>
      <c r="L117" s="1"/>
      <c r="M117" s="1"/>
      <c r="N117" s="1"/>
    </row>
    <row r="118" spans="1:14">
      <c r="A118" s="8" t="s">
        <v>20</v>
      </c>
      <c r="B118" s="8" t="s">
        <v>20</v>
      </c>
      <c r="C118" s="10" t="s">
        <v>18</v>
      </c>
      <c r="D118" s="8" t="s">
        <v>22</v>
      </c>
      <c r="E118" s="7" t="str">
        <f t="shared" si="4"/>
        <v>04040305</v>
      </c>
      <c r="F118" s="1" t="s">
        <v>278</v>
      </c>
      <c r="G118" s="1" t="str">
        <f t="shared" si="5"/>
        <v>抽屉04</v>
      </c>
      <c r="H118" t="str">
        <f t="shared" si="6"/>
        <v>行号03</v>
      </c>
      <c r="I118" s="1" t="str">
        <f t="shared" si="7"/>
        <v>序号05</v>
      </c>
      <c r="J118" s="22" t="s">
        <v>138</v>
      </c>
      <c r="K118" s="1"/>
      <c r="L118" s="1"/>
      <c r="M118" s="1"/>
      <c r="N118" s="1"/>
    </row>
    <row r="119" spans="1:14">
      <c r="A119" s="8" t="s">
        <v>20</v>
      </c>
      <c r="B119" s="8" t="s">
        <v>20</v>
      </c>
      <c r="C119" s="10" t="s">
        <v>18</v>
      </c>
      <c r="D119" s="8" t="s">
        <v>24</v>
      </c>
      <c r="E119" s="7" t="str">
        <f t="shared" si="4"/>
        <v>04040306</v>
      </c>
      <c r="F119" s="1" t="s">
        <v>278</v>
      </c>
      <c r="G119" s="1" t="str">
        <f t="shared" si="5"/>
        <v>抽屉04</v>
      </c>
      <c r="H119" t="str">
        <f t="shared" si="6"/>
        <v>行号03</v>
      </c>
      <c r="I119" s="1" t="str">
        <f t="shared" si="7"/>
        <v>序号06</v>
      </c>
      <c r="J119" s="22" t="s">
        <v>139</v>
      </c>
      <c r="K119" s="1"/>
      <c r="L119" s="1"/>
      <c r="M119" s="1"/>
      <c r="N119" s="1"/>
    </row>
    <row r="120" spans="1:14">
      <c r="A120" s="8" t="s">
        <v>20</v>
      </c>
      <c r="B120" s="8" t="s">
        <v>20</v>
      </c>
      <c r="C120" s="10" t="s">
        <v>18</v>
      </c>
      <c r="D120" s="8" t="s">
        <v>26</v>
      </c>
      <c r="E120" s="7" t="str">
        <f t="shared" si="4"/>
        <v>04040307</v>
      </c>
      <c r="F120" s="1" t="s">
        <v>278</v>
      </c>
      <c r="G120" s="1" t="str">
        <f t="shared" si="5"/>
        <v>抽屉04</v>
      </c>
      <c r="H120" t="str">
        <f t="shared" si="6"/>
        <v>行号03</v>
      </c>
      <c r="I120" s="1" t="str">
        <f t="shared" si="7"/>
        <v>序号07</v>
      </c>
      <c r="J120" s="22" t="s">
        <v>140</v>
      </c>
      <c r="K120" s="1"/>
      <c r="L120" s="1"/>
      <c r="M120" s="1"/>
      <c r="N120" s="1"/>
    </row>
    <row r="121" spans="1:14">
      <c r="A121" s="8" t="s">
        <v>20</v>
      </c>
      <c r="B121" s="8" t="s">
        <v>20</v>
      </c>
      <c r="C121" s="10" t="s">
        <v>18</v>
      </c>
      <c r="D121" s="8" t="s">
        <v>28</v>
      </c>
      <c r="E121" s="7" t="str">
        <f t="shared" si="4"/>
        <v>04040308</v>
      </c>
      <c r="F121" s="1" t="s">
        <v>278</v>
      </c>
      <c r="G121" s="1" t="str">
        <f t="shared" si="5"/>
        <v>抽屉04</v>
      </c>
      <c r="H121" t="str">
        <f t="shared" si="6"/>
        <v>行号03</v>
      </c>
      <c r="I121" s="1" t="str">
        <f t="shared" si="7"/>
        <v>序号08</v>
      </c>
      <c r="J121" s="22" t="s">
        <v>141</v>
      </c>
      <c r="K121" s="1"/>
      <c r="L121" s="1"/>
      <c r="M121" s="1"/>
      <c r="N121" s="1"/>
    </row>
    <row r="122" spans="1:14">
      <c r="A122" s="8" t="s">
        <v>20</v>
      </c>
      <c r="B122" s="8" t="s">
        <v>20</v>
      </c>
      <c r="C122" s="8" t="s">
        <v>20</v>
      </c>
      <c r="D122" s="11" t="s">
        <v>14</v>
      </c>
      <c r="E122" s="7" t="str">
        <f t="shared" si="4"/>
        <v>04040401</v>
      </c>
      <c r="F122" s="1" t="s">
        <v>278</v>
      </c>
      <c r="G122" s="1" t="str">
        <f t="shared" si="5"/>
        <v>抽屉04</v>
      </c>
      <c r="H122" t="str">
        <f t="shared" si="6"/>
        <v>行号04</v>
      </c>
      <c r="I122" s="1" t="str">
        <f t="shared" si="7"/>
        <v>序号01</v>
      </c>
      <c r="J122" s="22" t="s">
        <v>142</v>
      </c>
      <c r="K122" s="1"/>
      <c r="L122" s="1"/>
      <c r="M122" s="1"/>
      <c r="N122" s="1"/>
    </row>
    <row r="123" spans="1:14">
      <c r="A123" s="8" t="s">
        <v>20</v>
      </c>
      <c r="B123" s="8" t="s">
        <v>20</v>
      </c>
      <c r="C123" s="8" t="s">
        <v>20</v>
      </c>
      <c r="D123" s="11" t="s">
        <v>16</v>
      </c>
      <c r="E123" s="7" t="str">
        <f t="shared" si="4"/>
        <v>04040402</v>
      </c>
      <c r="F123" s="1" t="s">
        <v>278</v>
      </c>
      <c r="G123" s="1" t="str">
        <f t="shared" si="5"/>
        <v>抽屉04</v>
      </c>
      <c r="H123" t="str">
        <f t="shared" si="6"/>
        <v>行号04</v>
      </c>
      <c r="I123" s="1" t="str">
        <f t="shared" si="7"/>
        <v>序号02</v>
      </c>
      <c r="J123" s="22" t="s">
        <v>143</v>
      </c>
      <c r="K123" s="1"/>
      <c r="L123" s="1"/>
      <c r="M123" s="1"/>
      <c r="N123" s="1"/>
    </row>
    <row r="124" spans="1:14">
      <c r="A124" s="8" t="s">
        <v>20</v>
      </c>
      <c r="B124" s="8" t="s">
        <v>20</v>
      </c>
      <c r="C124" s="8" t="s">
        <v>20</v>
      </c>
      <c r="D124" s="11" t="s">
        <v>18</v>
      </c>
      <c r="E124" s="7" t="str">
        <f t="shared" si="4"/>
        <v>04040403</v>
      </c>
      <c r="F124" s="1" t="s">
        <v>278</v>
      </c>
      <c r="G124" s="1" t="str">
        <f t="shared" si="5"/>
        <v>抽屉04</v>
      </c>
      <c r="H124" t="str">
        <f t="shared" si="6"/>
        <v>行号04</v>
      </c>
      <c r="I124" s="1" t="str">
        <f t="shared" si="7"/>
        <v>序号03</v>
      </c>
      <c r="J124" s="22" t="s">
        <v>144</v>
      </c>
      <c r="K124" s="1"/>
      <c r="L124" s="1"/>
      <c r="M124" s="1"/>
      <c r="N124" s="1"/>
    </row>
    <row r="125" spans="1:14">
      <c r="A125" s="8" t="s">
        <v>20</v>
      </c>
      <c r="B125" s="8" t="s">
        <v>20</v>
      </c>
      <c r="C125" s="8" t="s">
        <v>20</v>
      </c>
      <c r="D125" s="11" t="s">
        <v>20</v>
      </c>
      <c r="E125" s="7" t="str">
        <f t="shared" si="4"/>
        <v>04040404</v>
      </c>
      <c r="F125" s="1" t="s">
        <v>278</v>
      </c>
      <c r="G125" s="1" t="str">
        <f t="shared" si="5"/>
        <v>抽屉04</v>
      </c>
      <c r="H125" t="str">
        <f t="shared" si="6"/>
        <v>行号04</v>
      </c>
      <c r="I125" s="1" t="str">
        <f t="shared" si="7"/>
        <v>序号04</v>
      </c>
      <c r="J125" s="22" t="s">
        <v>145</v>
      </c>
      <c r="K125" s="1"/>
      <c r="L125" s="1"/>
      <c r="M125" s="1"/>
      <c r="N125" s="1"/>
    </row>
    <row r="126" spans="1:14">
      <c r="A126" s="8" t="s">
        <v>20</v>
      </c>
      <c r="B126" s="8" t="s">
        <v>20</v>
      </c>
      <c r="C126" s="8" t="s">
        <v>20</v>
      </c>
      <c r="D126" s="11" t="s">
        <v>22</v>
      </c>
      <c r="E126" s="7" t="str">
        <f t="shared" si="4"/>
        <v>04040405</v>
      </c>
      <c r="F126" s="1" t="s">
        <v>278</v>
      </c>
      <c r="G126" s="1" t="str">
        <f t="shared" si="5"/>
        <v>抽屉04</v>
      </c>
      <c r="H126" t="str">
        <f t="shared" si="6"/>
        <v>行号04</v>
      </c>
      <c r="I126" s="1" t="str">
        <f t="shared" si="7"/>
        <v>序号05</v>
      </c>
      <c r="J126" s="22" t="s">
        <v>146</v>
      </c>
      <c r="K126" s="1"/>
      <c r="L126" s="1"/>
      <c r="M126" s="1"/>
      <c r="N126" s="1"/>
    </row>
    <row r="127" spans="1:14">
      <c r="A127" s="8" t="s">
        <v>20</v>
      </c>
      <c r="B127" s="8" t="s">
        <v>20</v>
      </c>
      <c r="C127" s="8" t="s">
        <v>20</v>
      </c>
      <c r="D127" s="11" t="s">
        <v>24</v>
      </c>
      <c r="E127" s="7" t="str">
        <f t="shared" si="4"/>
        <v>04040406</v>
      </c>
      <c r="F127" s="1" t="s">
        <v>278</v>
      </c>
      <c r="G127" s="1" t="str">
        <f t="shared" si="5"/>
        <v>抽屉04</v>
      </c>
      <c r="H127" t="str">
        <f t="shared" si="6"/>
        <v>行号04</v>
      </c>
      <c r="I127" s="1" t="str">
        <f t="shared" si="7"/>
        <v>序号06</v>
      </c>
      <c r="J127" s="22" t="s">
        <v>147</v>
      </c>
      <c r="K127" s="1"/>
      <c r="L127" s="1"/>
      <c r="M127" s="1"/>
      <c r="N127" s="1"/>
    </row>
    <row r="128" spans="1:14">
      <c r="A128" s="8" t="s">
        <v>20</v>
      </c>
      <c r="B128" s="8" t="s">
        <v>20</v>
      </c>
      <c r="C128" s="8" t="s">
        <v>20</v>
      </c>
      <c r="D128" s="11" t="s">
        <v>26</v>
      </c>
      <c r="E128" s="7" t="str">
        <f t="shared" si="4"/>
        <v>04040407</v>
      </c>
      <c r="F128" s="1" t="s">
        <v>278</v>
      </c>
      <c r="G128" s="1" t="str">
        <f t="shared" si="5"/>
        <v>抽屉04</v>
      </c>
      <c r="H128" t="str">
        <f t="shared" si="6"/>
        <v>行号04</v>
      </c>
      <c r="I128" s="1" t="str">
        <f t="shared" si="7"/>
        <v>序号07</v>
      </c>
      <c r="J128" s="22" t="s">
        <v>148</v>
      </c>
      <c r="K128" s="1"/>
      <c r="L128" s="1"/>
      <c r="M128" s="1"/>
      <c r="N128" s="1"/>
    </row>
    <row r="129" spans="1:14">
      <c r="A129" s="8" t="s">
        <v>20</v>
      </c>
      <c r="B129" s="8" t="s">
        <v>20</v>
      </c>
      <c r="C129" s="8" t="s">
        <v>20</v>
      </c>
      <c r="D129" s="11" t="s">
        <v>28</v>
      </c>
      <c r="E129" s="7" t="str">
        <f t="shared" si="4"/>
        <v>04040408</v>
      </c>
      <c r="F129" s="1" t="s">
        <v>278</v>
      </c>
      <c r="G129" s="1" t="str">
        <f t="shared" si="5"/>
        <v>抽屉04</v>
      </c>
      <c r="H129" t="str">
        <f t="shared" si="6"/>
        <v>行号04</v>
      </c>
      <c r="I129" s="1" t="str">
        <f t="shared" si="7"/>
        <v>序号08</v>
      </c>
      <c r="J129" s="22" t="s">
        <v>149</v>
      </c>
      <c r="K129" s="1"/>
      <c r="L129" s="1"/>
      <c r="M129" s="1"/>
      <c r="N129" s="1"/>
    </row>
    <row r="130" spans="1:14">
      <c r="A130" s="8" t="s">
        <v>20</v>
      </c>
      <c r="B130" s="9" t="s">
        <v>22</v>
      </c>
      <c r="C130" s="10" t="s">
        <v>14</v>
      </c>
      <c r="D130" s="8" t="s">
        <v>14</v>
      </c>
      <c r="E130" s="7" t="str">
        <f t="shared" ref="E130:E193" si="8">A130&amp;B130&amp;C130&amp;D130</f>
        <v>04050101</v>
      </c>
      <c r="F130" s="1" t="s">
        <v>278</v>
      </c>
      <c r="G130" s="1" t="str">
        <f t="shared" ref="G130:G193" si="9">"抽屉"&amp;B130</f>
        <v>抽屉05</v>
      </c>
      <c r="H130" t="str">
        <f t="shared" ref="H130:H193" si="10">"行号"&amp;C130</f>
        <v>行号01</v>
      </c>
      <c r="I130" s="1" t="str">
        <f t="shared" ref="I130:I193" si="11">"序号"&amp;D130</f>
        <v>序号01</v>
      </c>
      <c r="J130" s="22" t="s">
        <v>150</v>
      </c>
      <c r="K130" s="1"/>
      <c r="L130" s="1"/>
      <c r="M130" s="1"/>
      <c r="N130" s="1"/>
    </row>
    <row r="131" spans="1:14">
      <c r="A131" s="8" t="s">
        <v>20</v>
      </c>
      <c r="B131" s="9" t="s">
        <v>22</v>
      </c>
      <c r="C131" s="10" t="s">
        <v>14</v>
      </c>
      <c r="D131" s="8" t="s">
        <v>16</v>
      </c>
      <c r="E131" s="7" t="str">
        <f t="shared" si="8"/>
        <v>04050102</v>
      </c>
      <c r="F131" s="1" t="s">
        <v>278</v>
      </c>
      <c r="G131" s="1" t="str">
        <f t="shared" si="9"/>
        <v>抽屉05</v>
      </c>
      <c r="H131" t="str">
        <f t="shared" si="10"/>
        <v>行号01</v>
      </c>
      <c r="I131" s="1" t="str">
        <f t="shared" si="11"/>
        <v>序号02</v>
      </c>
      <c r="J131" s="22" t="s">
        <v>151</v>
      </c>
      <c r="K131" s="1"/>
      <c r="L131" s="1"/>
      <c r="M131" s="1"/>
      <c r="N131" s="1"/>
    </row>
    <row r="132" spans="1:14">
      <c r="A132" s="8" t="s">
        <v>20</v>
      </c>
      <c r="B132" s="9" t="s">
        <v>22</v>
      </c>
      <c r="C132" s="10" t="s">
        <v>14</v>
      </c>
      <c r="D132" s="8" t="s">
        <v>18</v>
      </c>
      <c r="E132" s="7" t="str">
        <f t="shared" si="8"/>
        <v>04050103</v>
      </c>
      <c r="F132" s="1" t="s">
        <v>278</v>
      </c>
      <c r="G132" s="1" t="str">
        <f t="shared" si="9"/>
        <v>抽屉05</v>
      </c>
      <c r="H132" t="str">
        <f t="shared" si="10"/>
        <v>行号01</v>
      </c>
      <c r="I132" s="1" t="str">
        <f t="shared" si="11"/>
        <v>序号03</v>
      </c>
      <c r="J132" s="22" t="s">
        <v>152</v>
      </c>
      <c r="K132" s="1"/>
      <c r="L132" s="1"/>
      <c r="M132" s="1"/>
      <c r="N132" s="1"/>
    </row>
    <row r="133" spans="1:14">
      <c r="A133" s="8" t="s">
        <v>20</v>
      </c>
      <c r="B133" s="9" t="s">
        <v>22</v>
      </c>
      <c r="C133" s="10" t="s">
        <v>14</v>
      </c>
      <c r="D133" s="8" t="s">
        <v>20</v>
      </c>
      <c r="E133" s="7" t="str">
        <f t="shared" si="8"/>
        <v>04050104</v>
      </c>
      <c r="F133" s="1" t="s">
        <v>278</v>
      </c>
      <c r="G133" s="1" t="str">
        <f t="shared" si="9"/>
        <v>抽屉05</v>
      </c>
      <c r="H133" t="str">
        <f t="shared" si="10"/>
        <v>行号01</v>
      </c>
      <c r="I133" s="1" t="str">
        <f t="shared" si="11"/>
        <v>序号04</v>
      </c>
      <c r="J133" s="22" t="s">
        <v>153</v>
      </c>
      <c r="K133" s="1"/>
      <c r="L133" s="1"/>
      <c r="M133" s="1"/>
      <c r="N133" s="1"/>
    </row>
    <row r="134" spans="1:14">
      <c r="A134" s="8" t="s">
        <v>20</v>
      </c>
      <c r="B134" s="9" t="s">
        <v>22</v>
      </c>
      <c r="C134" s="10" t="s">
        <v>14</v>
      </c>
      <c r="D134" s="8" t="s">
        <v>22</v>
      </c>
      <c r="E134" s="7" t="str">
        <f t="shared" si="8"/>
        <v>04050105</v>
      </c>
      <c r="F134" s="1" t="s">
        <v>278</v>
      </c>
      <c r="G134" s="1" t="str">
        <f t="shared" si="9"/>
        <v>抽屉05</v>
      </c>
      <c r="H134" t="str">
        <f t="shared" si="10"/>
        <v>行号01</v>
      </c>
      <c r="I134" s="1" t="str">
        <f t="shared" si="11"/>
        <v>序号05</v>
      </c>
      <c r="J134" s="22" t="s">
        <v>154</v>
      </c>
      <c r="K134" s="1"/>
      <c r="L134" s="1"/>
      <c r="M134" s="1"/>
      <c r="N134" s="1"/>
    </row>
    <row r="135" spans="1:14">
      <c r="A135" s="8" t="s">
        <v>20</v>
      </c>
      <c r="B135" s="9" t="s">
        <v>22</v>
      </c>
      <c r="C135" s="10" t="s">
        <v>14</v>
      </c>
      <c r="D135" s="8" t="s">
        <v>24</v>
      </c>
      <c r="E135" s="7" t="str">
        <f t="shared" si="8"/>
        <v>04050106</v>
      </c>
      <c r="F135" s="1" t="s">
        <v>278</v>
      </c>
      <c r="G135" s="1" t="str">
        <f t="shared" si="9"/>
        <v>抽屉05</v>
      </c>
      <c r="H135" t="str">
        <f t="shared" si="10"/>
        <v>行号01</v>
      </c>
      <c r="I135" s="1" t="str">
        <f t="shared" si="11"/>
        <v>序号06</v>
      </c>
      <c r="J135" s="22" t="s">
        <v>155</v>
      </c>
      <c r="K135" s="1"/>
      <c r="L135" s="1"/>
      <c r="M135" s="1"/>
      <c r="N135" s="1"/>
    </row>
    <row r="136" spans="1:14">
      <c r="A136" s="8" t="s">
        <v>20</v>
      </c>
      <c r="B136" s="9" t="s">
        <v>22</v>
      </c>
      <c r="C136" s="10" t="s">
        <v>14</v>
      </c>
      <c r="D136" s="8" t="s">
        <v>26</v>
      </c>
      <c r="E136" s="7" t="str">
        <f t="shared" si="8"/>
        <v>04050107</v>
      </c>
      <c r="F136" s="1" t="s">
        <v>278</v>
      </c>
      <c r="G136" s="1" t="str">
        <f t="shared" si="9"/>
        <v>抽屉05</v>
      </c>
      <c r="H136" t="str">
        <f t="shared" si="10"/>
        <v>行号01</v>
      </c>
      <c r="I136" s="1" t="str">
        <f t="shared" si="11"/>
        <v>序号07</v>
      </c>
      <c r="J136" s="22" t="s">
        <v>156</v>
      </c>
      <c r="K136" s="1"/>
      <c r="L136" s="1"/>
      <c r="M136" s="1"/>
      <c r="N136" s="1"/>
    </row>
    <row r="137" spans="1:14">
      <c r="A137" s="8" t="s">
        <v>20</v>
      </c>
      <c r="B137" s="9" t="s">
        <v>22</v>
      </c>
      <c r="C137" s="10" t="s">
        <v>14</v>
      </c>
      <c r="D137" s="8" t="s">
        <v>28</v>
      </c>
      <c r="E137" s="7" t="str">
        <f t="shared" si="8"/>
        <v>04050108</v>
      </c>
      <c r="F137" s="1" t="s">
        <v>278</v>
      </c>
      <c r="G137" s="1" t="str">
        <f t="shared" si="9"/>
        <v>抽屉05</v>
      </c>
      <c r="H137" t="str">
        <f t="shared" si="10"/>
        <v>行号01</v>
      </c>
      <c r="I137" s="1" t="str">
        <f t="shared" si="11"/>
        <v>序号08</v>
      </c>
      <c r="J137" s="22" t="s">
        <v>157</v>
      </c>
      <c r="K137" s="1"/>
      <c r="L137" s="1"/>
      <c r="M137" s="1"/>
      <c r="N137" s="1"/>
    </row>
    <row r="138" spans="1:14">
      <c r="A138" s="8" t="s">
        <v>20</v>
      </c>
      <c r="B138" s="9" t="s">
        <v>22</v>
      </c>
      <c r="C138" s="8" t="s">
        <v>16</v>
      </c>
      <c r="D138" s="11" t="s">
        <v>14</v>
      </c>
      <c r="E138" s="7" t="str">
        <f t="shared" si="8"/>
        <v>04050201</v>
      </c>
      <c r="F138" s="1" t="s">
        <v>278</v>
      </c>
      <c r="G138" s="1" t="str">
        <f t="shared" si="9"/>
        <v>抽屉05</v>
      </c>
      <c r="H138" t="str">
        <f t="shared" si="10"/>
        <v>行号02</v>
      </c>
      <c r="I138" s="1" t="str">
        <f t="shared" si="11"/>
        <v>序号01</v>
      </c>
      <c r="J138" s="22" t="s">
        <v>158</v>
      </c>
      <c r="K138" s="1"/>
      <c r="L138" s="1"/>
      <c r="M138" s="1"/>
      <c r="N138" s="1"/>
    </row>
    <row r="139" spans="1:14">
      <c r="A139" s="8" t="s">
        <v>20</v>
      </c>
      <c r="B139" s="9" t="s">
        <v>22</v>
      </c>
      <c r="C139" s="8" t="s">
        <v>16</v>
      </c>
      <c r="D139" s="11" t="s">
        <v>16</v>
      </c>
      <c r="E139" s="7" t="str">
        <f t="shared" si="8"/>
        <v>04050202</v>
      </c>
      <c r="F139" s="1" t="s">
        <v>278</v>
      </c>
      <c r="G139" s="1" t="str">
        <f t="shared" si="9"/>
        <v>抽屉05</v>
      </c>
      <c r="H139" t="str">
        <f t="shared" si="10"/>
        <v>行号02</v>
      </c>
      <c r="I139" s="1" t="str">
        <f t="shared" si="11"/>
        <v>序号02</v>
      </c>
      <c r="J139" s="22" t="s">
        <v>159</v>
      </c>
      <c r="K139" s="1"/>
      <c r="L139" s="1"/>
      <c r="M139" s="1"/>
      <c r="N139" s="1"/>
    </row>
    <row r="140" spans="1:14">
      <c r="A140" s="8" t="s">
        <v>20</v>
      </c>
      <c r="B140" s="9" t="s">
        <v>22</v>
      </c>
      <c r="C140" s="8" t="s">
        <v>16</v>
      </c>
      <c r="D140" s="11" t="s">
        <v>18</v>
      </c>
      <c r="E140" s="7" t="str">
        <f t="shared" si="8"/>
        <v>04050203</v>
      </c>
      <c r="F140" s="1" t="s">
        <v>278</v>
      </c>
      <c r="G140" s="1" t="str">
        <f t="shared" si="9"/>
        <v>抽屉05</v>
      </c>
      <c r="H140" t="str">
        <f t="shared" si="10"/>
        <v>行号02</v>
      </c>
      <c r="I140" s="1" t="str">
        <f t="shared" si="11"/>
        <v>序号03</v>
      </c>
      <c r="J140" s="22" t="s">
        <v>160</v>
      </c>
      <c r="K140" s="1"/>
      <c r="L140" s="1"/>
      <c r="M140" s="1"/>
      <c r="N140" s="1"/>
    </row>
    <row r="141" spans="1:14">
      <c r="A141" s="8" t="s">
        <v>20</v>
      </c>
      <c r="B141" s="9" t="s">
        <v>22</v>
      </c>
      <c r="C141" s="8" t="s">
        <v>16</v>
      </c>
      <c r="D141" s="11" t="s">
        <v>20</v>
      </c>
      <c r="E141" s="7" t="str">
        <f t="shared" si="8"/>
        <v>04050204</v>
      </c>
      <c r="F141" s="1" t="s">
        <v>278</v>
      </c>
      <c r="G141" s="1" t="str">
        <f t="shared" si="9"/>
        <v>抽屉05</v>
      </c>
      <c r="H141" t="str">
        <f t="shared" si="10"/>
        <v>行号02</v>
      </c>
      <c r="I141" s="1" t="str">
        <f t="shared" si="11"/>
        <v>序号04</v>
      </c>
      <c r="J141" s="22" t="s">
        <v>161</v>
      </c>
      <c r="K141" s="1"/>
      <c r="L141" s="1"/>
      <c r="M141" s="1"/>
      <c r="N141" s="1"/>
    </row>
    <row r="142" spans="1:14">
      <c r="A142" s="8" t="s">
        <v>20</v>
      </c>
      <c r="B142" s="9" t="s">
        <v>22</v>
      </c>
      <c r="C142" s="8" t="s">
        <v>16</v>
      </c>
      <c r="D142" s="11" t="s">
        <v>22</v>
      </c>
      <c r="E142" s="7" t="str">
        <f t="shared" si="8"/>
        <v>04050205</v>
      </c>
      <c r="F142" s="1" t="s">
        <v>278</v>
      </c>
      <c r="G142" s="1" t="str">
        <f t="shared" si="9"/>
        <v>抽屉05</v>
      </c>
      <c r="H142" t="str">
        <f t="shared" si="10"/>
        <v>行号02</v>
      </c>
      <c r="I142" s="1" t="str">
        <f t="shared" si="11"/>
        <v>序号05</v>
      </c>
      <c r="J142" s="22" t="s">
        <v>162</v>
      </c>
      <c r="K142" s="1"/>
      <c r="L142" s="1"/>
      <c r="M142" s="1"/>
      <c r="N142" s="1"/>
    </row>
    <row r="143" spans="1:14">
      <c r="A143" s="8" t="s">
        <v>20</v>
      </c>
      <c r="B143" s="9" t="s">
        <v>22</v>
      </c>
      <c r="C143" s="8" t="s">
        <v>16</v>
      </c>
      <c r="D143" s="11" t="s">
        <v>24</v>
      </c>
      <c r="E143" s="7" t="str">
        <f t="shared" si="8"/>
        <v>04050206</v>
      </c>
      <c r="F143" s="1" t="s">
        <v>278</v>
      </c>
      <c r="G143" s="1" t="str">
        <f t="shared" si="9"/>
        <v>抽屉05</v>
      </c>
      <c r="H143" t="str">
        <f t="shared" si="10"/>
        <v>行号02</v>
      </c>
      <c r="I143" s="1" t="str">
        <f t="shared" si="11"/>
        <v>序号06</v>
      </c>
      <c r="J143" s="22" t="s">
        <v>163</v>
      </c>
      <c r="K143" s="1"/>
      <c r="L143" s="1"/>
      <c r="M143" s="1"/>
      <c r="N143" s="1"/>
    </row>
    <row r="144" spans="1:14">
      <c r="A144" s="8" t="s">
        <v>20</v>
      </c>
      <c r="B144" s="9" t="s">
        <v>22</v>
      </c>
      <c r="C144" s="8" t="s">
        <v>16</v>
      </c>
      <c r="D144" s="11" t="s">
        <v>26</v>
      </c>
      <c r="E144" s="7" t="str">
        <f t="shared" si="8"/>
        <v>04050207</v>
      </c>
      <c r="F144" s="1" t="s">
        <v>278</v>
      </c>
      <c r="G144" s="1" t="str">
        <f t="shared" si="9"/>
        <v>抽屉05</v>
      </c>
      <c r="H144" t="str">
        <f t="shared" si="10"/>
        <v>行号02</v>
      </c>
      <c r="I144" s="1" t="str">
        <f t="shared" si="11"/>
        <v>序号07</v>
      </c>
      <c r="J144" s="22" t="s">
        <v>164</v>
      </c>
      <c r="K144" s="1"/>
      <c r="L144" s="1"/>
      <c r="M144" s="1"/>
      <c r="N144" s="1"/>
    </row>
    <row r="145" spans="1:14">
      <c r="A145" s="8" t="s">
        <v>20</v>
      </c>
      <c r="B145" s="9" t="s">
        <v>22</v>
      </c>
      <c r="C145" s="8" t="s">
        <v>16</v>
      </c>
      <c r="D145" s="11" t="s">
        <v>28</v>
      </c>
      <c r="E145" s="7" t="str">
        <f t="shared" si="8"/>
        <v>04050208</v>
      </c>
      <c r="F145" s="1" t="s">
        <v>278</v>
      </c>
      <c r="G145" s="1" t="str">
        <f t="shared" si="9"/>
        <v>抽屉05</v>
      </c>
      <c r="H145" t="str">
        <f t="shared" si="10"/>
        <v>行号02</v>
      </c>
      <c r="I145" s="1" t="str">
        <f t="shared" si="11"/>
        <v>序号08</v>
      </c>
      <c r="J145" s="22" t="s">
        <v>165</v>
      </c>
      <c r="K145" s="1"/>
      <c r="L145" s="1"/>
      <c r="M145" s="1"/>
      <c r="N145" s="1"/>
    </row>
    <row r="146" spans="1:14">
      <c r="A146" s="8" t="s">
        <v>20</v>
      </c>
      <c r="B146" s="9" t="s">
        <v>22</v>
      </c>
      <c r="C146" s="10" t="s">
        <v>18</v>
      </c>
      <c r="D146" s="8" t="s">
        <v>14</v>
      </c>
      <c r="E146" s="7" t="str">
        <f t="shared" si="8"/>
        <v>04050301</v>
      </c>
      <c r="F146" s="1" t="s">
        <v>278</v>
      </c>
      <c r="G146" s="1" t="str">
        <f t="shared" si="9"/>
        <v>抽屉05</v>
      </c>
      <c r="H146" t="str">
        <f t="shared" si="10"/>
        <v>行号03</v>
      </c>
      <c r="I146" s="1" t="str">
        <f t="shared" si="11"/>
        <v>序号01</v>
      </c>
      <c r="J146" s="22" t="s">
        <v>166</v>
      </c>
      <c r="K146" s="1"/>
      <c r="L146" s="1"/>
      <c r="M146" s="1"/>
      <c r="N146" s="1"/>
    </row>
    <row r="147" spans="1:14">
      <c r="A147" s="8" t="s">
        <v>20</v>
      </c>
      <c r="B147" s="9" t="s">
        <v>22</v>
      </c>
      <c r="C147" s="10" t="s">
        <v>18</v>
      </c>
      <c r="D147" s="8" t="s">
        <v>16</v>
      </c>
      <c r="E147" s="7" t="str">
        <f t="shared" si="8"/>
        <v>04050302</v>
      </c>
      <c r="F147" s="1" t="s">
        <v>278</v>
      </c>
      <c r="G147" s="1" t="str">
        <f t="shared" si="9"/>
        <v>抽屉05</v>
      </c>
      <c r="H147" t="str">
        <f t="shared" si="10"/>
        <v>行号03</v>
      </c>
      <c r="I147" s="1" t="str">
        <f t="shared" si="11"/>
        <v>序号02</v>
      </c>
      <c r="J147" s="22" t="s">
        <v>167</v>
      </c>
      <c r="K147" s="1"/>
      <c r="L147" s="1"/>
      <c r="M147" s="1"/>
      <c r="N147" s="1"/>
    </row>
    <row r="148" spans="1:14">
      <c r="A148" s="8" t="s">
        <v>20</v>
      </c>
      <c r="B148" s="9" t="s">
        <v>22</v>
      </c>
      <c r="C148" s="10" t="s">
        <v>18</v>
      </c>
      <c r="D148" s="8" t="s">
        <v>18</v>
      </c>
      <c r="E148" s="7" t="str">
        <f t="shared" si="8"/>
        <v>04050303</v>
      </c>
      <c r="F148" s="1" t="s">
        <v>278</v>
      </c>
      <c r="G148" s="1" t="str">
        <f t="shared" si="9"/>
        <v>抽屉05</v>
      </c>
      <c r="H148" t="str">
        <f t="shared" si="10"/>
        <v>行号03</v>
      </c>
      <c r="I148" s="1" t="str">
        <f t="shared" si="11"/>
        <v>序号03</v>
      </c>
      <c r="J148" s="22" t="s">
        <v>168</v>
      </c>
      <c r="K148" s="1"/>
      <c r="L148" s="1"/>
      <c r="M148" s="1"/>
      <c r="N148" s="1"/>
    </row>
    <row r="149" spans="1:14">
      <c r="A149" s="8" t="s">
        <v>20</v>
      </c>
      <c r="B149" s="9" t="s">
        <v>22</v>
      </c>
      <c r="C149" s="10" t="s">
        <v>18</v>
      </c>
      <c r="D149" s="8" t="s">
        <v>20</v>
      </c>
      <c r="E149" s="7" t="str">
        <f t="shared" si="8"/>
        <v>04050304</v>
      </c>
      <c r="F149" s="1" t="s">
        <v>278</v>
      </c>
      <c r="G149" s="1" t="str">
        <f t="shared" si="9"/>
        <v>抽屉05</v>
      </c>
      <c r="H149" t="str">
        <f t="shared" si="10"/>
        <v>行号03</v>
      </c>
      <c r="I149" s="1" t="str">
        <f t="shared" si="11"/>
        <v>序号04</v>
      </c>
      <c r="J149" s="22" t="s">
        <v>169</v>
      </c>
      <c r="K149" s="1"/>
      <c r="L149" s="1"/>
      <c r="M149" s="1"/>
      <c r="N149" s="1"/>
    </row>
    <row r="150" spans="1:14">
      <c r="A150" s="8" t="s">
        <v>20</v>
      </c>
      <c r="B150" s="9" t="s">
        <v>22</v>
      </c>
      <c r="C150" s="10" t="s">
        <v>18</v>
      </c>
      <c r="D150" s="8" t="s">
        <v>22</v>
      </c>
      <c r="E150" s="7" t="str">
        <f t="shared" si="8"/>
        <v>04050305</v>
      </c>
      <c r="F150" s="1" t="s">
        <v>278</v>
      </c>
      <c r="G150" s="1" t="str">
        <f t="shared" si="9"/>
        <v>抽屉05</v>
      </c>
      <c r="H150" t="str">
        <f t="shared" si="10"/>
        <v>行号03</v>
      </c>
      <c r="I150" s="1" t="str">
        <f t="shared" si="11"/>
        <v>序号05</v>
      </c>
      <c r="J150" s="22" t="s">
        <v>170</v>
      </c>
      <c r="K150" s="1"/>
      <c r="L150" s="1"/>
      <c r="M150" s="1"/>
      <c r="N150" s="1"/>
    </row>
    <row r="151" spans="1:14">
      <c r="A151" s="8" t="s">
        <v>20</v>
      </c>
      <c r="B151" s="9" t="s">
        <v>22</v>
      </c>
      <c r="C151" s="10" t="s">
        <v>18</v>
      </c>
      <c r="D151" s="8" t="s">
        <v>24</v>
      </c>
      <c r="E151" s="7" t="str">
        <f t="shared" si="8"/>
        <v>04050306</v>
      </c>
      <c r="F151" s="1" t="s">
        <v>278</v>
      </c>
      <c r="G151" s="1" t="str">
        <f t="shared" si="9"/>
        <v>抽屉05</v>
      </c>
      <c r="H151" t="str">
        <f t="shared" si="10"/>
        <v>行号03</v>
      </c>
      <c r="I151" s="1" t="str">
        <f t="shared" si="11"/>
        <v>序号06</v>
      </c>
      <c r="J151" s="22" t="s">
        <v>171</v>
      </c>
      <c r="K151" s="1"/>
      <c r="L151" s="1"/>
      <c r="M151" s="1"/>
      <c r="N151" s="1"/>
    </row>
    <row r="152" spans="1:14">
      <c r="A152" s="8" t="s">
        <v>20</v>
      </c>
      <c r="B152" s="9" t="s">
        <v>22</v>
      </c>
      <c r="C152" s="10" t="s">
        <v>18</v>
      </c>
      <c r="D152" s="8" t="s">
        <v>26</v>
      </c>
      <c r="E152" s="7" t="str">
        <f t="shared" si="8"/>
        <v>04050307</v>
      </c>
      <c r="F152" s="1" t="s">
        <v>278</v>
      </c>
      <c r="G152" s="1" t="str">
        <f t="shared" si="9"/>
        <v>抽屉05</v>
      </c>
      <c r="H152" t="str">
        <f t="shared" si="10"/>
        <v>行号03</v>
      </c>
      <c r="I152" s="1" t="str">
        <f t="shared" si="11"/>
        <v>序号07</v>
      </c>
      <c r="J152" s="22" t="s">
        <v>172</v>
      </c>
      <c r="K152" s="1"/>
      <c r="L152" s="1"/>
      <c r="M152" s="1"/>
      <c r="N152" s="1"/>
    </row>
    <row r="153" spans="1:14">
      <c r="A153" s="8" t="s">
        <v>20</v>
      </c>
      <c r="B153" s="9" t="s">
        <v>22</v>
      </c>
      <c r="C153" s="10" t="s">
        <v>18</v>
      </c>
      <c r="D153" s="8" t="s">
        <v>28</v>
      </c>
      <c r="E153" s="7" t="str">
        <f t="shared" si="8"/>
        <v>04050308</v>
      </c>
      <c r="F153" s="1" t="s">
        <v>278</v>
      </c>
      <c r="G153" s="1" t="str">
        <f t="shared" si="9"/>
        <v>抽屉05</v>
      </c>
      <c r="H153" t="str">
        <f t="shared" si="10"/>
        <v>行号03</v>
      </c>
      <c r="I153" s="1" t="str">
        <f t="shared" si="11"/>
        <v>序号08</v>
      </c>
      <c r="J153" s="22" t="s">
        <v>173</v>
      </c>
      <c r="K153" s="1"/>
      <c r="L153" s="1"/>
      <c r="M153" s="1"/>
      <c r="N153" s="1"/>
    </row>
    <row r="154" spans="1:14">
      <c r="A154" s="8" t="s">
        <v>20</v>
      </c>
      <c r="B154" s="9" t="s">
        <v>22</v>
      </c>
      <c r="C154" s="8" t="s">
        <v>20</v>
      </c>
      <c r="D154" s="11" t="s">
        <v>14</v>
      </c>
      <c r="E154" s="7" t="str">
        <f t="shared" si="8"/>
        <v>04050401</v>
      </c>
      <c r="F154" s="1" t="s">
        <v>278</v>
      </c>
      <c r="G154" s="1" t="str">
        <f t="shared" si="9"/>
        <v>抽屉05</v>
      </c>
      <c r="H154" t="str">
        <f t="shared" si="10"/>
        <v>行号04</v>
      </c>
      <c r="I154" s="1" t="str">
        <f t="shared" si="11"/>
        <v>序号01</v>
      </c>
      <c r="J154" s="22" t="s">
        <v>174</v>
      </c>
      <c r="K154" s="1"/>
      <c r="L154" s="1"/>
      <c r="M154" s="1"/>
      <c r="N154" s="1"/>
    </row>
    <row r="155" spans="1:14">
      <c r="A155" s="8" t="s">
        <v>20</v>
      </c>
      <c r="B155" s="9" t="s">
        <v>22</v>
      </c>
      <c r="C155" s="8" t="s">
        <v>20</v>
      </c>
      <c r="D155" s="11" t="s">
        <v>16</v>
      </c>
      <c r="E155" s="7" t="str">
        <f t="shared" si="8"/>
        <v>04050402</v>
      </c>
      <c r="F155" s="1" t="s">
        <v>278</v>
      </c>
      <c r="G155" s="1" t="str">
        <f t="shared" si="9"/>
        <v>抽屉05</v>
      </c>
      <c r="H155" t="str">
        <f t="shared" si="10"/>
        <v>行号04</v>
      </c>
      <c r="I155" s="1" t="str">
        <f t="shared" si="11"/>
        <v>序号02</v>
      </c>
      <c r="J155" s="22" t="s">
        <v>175</v>
      </c>
      <c r="K155" s="1"/>
      <c r="L155" s="1"/>
      <c r="M155" s="1"/>
      <c r="N155" s="1"/>
    </row>
    <row r="156" spans="1:14">
      <c r="A156" s="8" t="s">
        <v>20</v>
      </c>
      <c r="B156" s="9" t="s">
        <v>22</v>
      </c>
      <c r="C156" s="8" t="s">
        <v>20</v>
      </c>
      <c r="D156" s="11" t="s">
        <v>18</v>
      </c>
      <c r="E156" s="7" t="str">
        <f t="shared" si="8"/>
        <v>04050403</v>
      </c>
      <c r="F156" s="1" t="s">
        <v>278</v>
      </c>
      <c r="G156" s="1" t="str">
        <f t="shared" si="9"/>
        <v>抽屉05</v>
      </c>
      <c r="H156" t="str">
        <f t="shared" si="10"/>
        <v>行号04</v>
      </c>
      <c r="I156" s="1" t="str">
        <f t="shared" si="11"/>
        <v>序号03</v>
      </c>
      <c r="J156" s="22" t="s">
        <v>176</v>
      </c>
      <c r="K156" s="1"/>
      <c r="L156" s="1"/>
      <c r="M156" s="1"/>
      <c r="N156" s="1"/>
    </row>
    <row r="157" spans="1:14">
      <c r="A157" s="8" t="s">
        <v>20</v>
      </c>
      <c r="B157" s="9" t="s">
        <v>22</v>
      </c>
      <c r="C157" s="8" t="s">
        <v>20</v>
      </c>
      <c r="D157" s="11" t="s">
        <v>20</v>
      </c>
      <c r="E157" s="7" t="str">
        <f t="shared" si="8"/>
        <v>04050404</v>
      </c>
      <c r="F157" s="1" t="s">
        <v>278</v>
      </c>
      <c r="G157" s="1" t="str">
        <f t="shared" si="9"/>
        <v>抽屉05</v>
      </c>
      <c r="H157" t="str">
        <f t="shared" si="10"/>
        <v>行号04</v>
      </c>
      <c r="I157" s="1" t="str">
        <f t="shared" si="11"/>
        <v>序号04</v>
      </c>
      <c r="J157" s="22" t="s">
        <v>177</v>
      </c>
      <c r="K157" s="1"/>
      <c r="L157" s="1"/>
      <c r="M157" s="1"/>
      <c r="N157" s="1"/>
    </row>
    <row r="158" spans="1:14">
      <c r="A158" s="8" t="s">
        <v>20</v>
      </c>
      <c r="B158" s="9" t="s">
        <v>22</v>
      </c>
      <c r="C158" s="8" t="s">
        <v>20</v>
      </c>
      <c r="D158" s="11" t="s">
        <v>22</v>
      </c>
      <c r="E158" s="7" t="str">
        <f t="shared" si="8"/>
        <v>04050405</v>
      </c>
      <c r="F158" s="1" t="s">
        <v>278</v>
      </c>
      <c r="G158" s="1" t="str">
        <f t="shared" si="9"/>
        <v>抽屉05</v>
      </c>
      <c r="H158" t="str">
        <f t="shared" si="10"/>
        <v>行号04</v>
      </c>
      <c r="I158" s="1" t="str">
        <f t="shared" si="11"/>
        <v>序号05</v>
      </c>
      <c r="J158" s="22" t="s">
        <v>178</v>
      </c>
      <c r="K158" s="1"/>
      <c r="L158" s="1"/>
      <c r="M158" s="1"/>
      <c r="N158" s="1"/>
    </row>
    <row r="159" spans="1:14">
      <c r="A159" s="8" t="s">
        <v>20</v>
      </c>
      <c r="B159" s="9" t="s">
        <v>22</v>
      </c>
      <c r="C159" s="8" t="s">
        <v>20</v>
      </c>
      <c r="D159" s="11" t="s">
        <v>24</v>
      </c>
      <c r="E159" s="7" t="str">
        <f t="shared" si="8"/>
        <v>04050406</v>
      </c>
      <c r="F159" s="1" t="s">
        <v>278</v>
      </c>
      <c r="G159" s="1" t="str">
        <f t="shared" si="9"/>
        <v>抽屉05</v>
      </c>
      <c r="H159" t="str">
        <f t="shared" si="10"/>
        <v>行号04</v>
      </c>
      <c r="I159" s="1" t="str">
        <f t="shared" si="11"/>
        <v>序号06</v>
      </c>
      <c r="J159" s="22" t="s">
        <v>179</v>
      </c>
      <c r="K159" s="1"/>
      <c r="L159" s="1"/>
      <c r="M159" s="1"/>
      <c r="N159" s="1"/>
    </row>
    <row r="160" spans="1:14">
      <c r="A160" s="8" t="s">
        <v>20</v>
      </c>
      <c r="B160" s="9" t="s">
        <v>22</v>
      </c>
      <c r="C160" s="8" t="s">
        <v>20</v>
      </c>
      <c r="D160" s="11" t="s">
        <v>26</v>
      </c>
      <c r="E160" s="7" t="str">
        <f t="shared" si="8"/>
        <v>04050407</v>
      </c>
      <c r="F160" s="1" t="s">
        <v>278</v>
      </c>
      <c r="G160" s="1" t="str">
        <f t="shared" si="9"/>
        <v>抽屉05</v>
      </c>
      <c r="H160" t="str">
        <f t="shared" si="10"/>
        <v>行号04</v>
      </c>
      <c r="I160" s="1" t="str">
        <f t="shared" si="11"/>
        <v>序号07</v>
      </c>
      <c r="J160" s="22" t="s">
        <v>180</v>
      </c>
      <c r="K160" s="1"/>
      <c r="L160" s="1"/>
      <c r="M160" s="1"/>
      <c r="N160" s="1"/>
    </row>
    <row r="161" spans="1:14">
      <c r="A161" s="8" t="s">
        <v>20</v>
      </c>
      <c r="B161" s="9" t="s">
        <v>22</v>
      </c>
      <c r="C161" s="8" t="s">
        <v>20</v>
      </c>
      <c r="D161" s="11" t="s">
        <v>28</v>
      </c>
      <c r="E161" s="7" t="str">
        <f t="shared" si="8"/>
        <v>04050408</v>
      </c>
      <c r="F161" s="1" t="s">
        <v>278</v>
      </c>
      <c r="G161" s="1" t="str">
        <f t="shared" si="9"/>
        <v>抽屉05</v>
      </c>
      <c r="H161" t="str">
        <f t="shared" si="10"/>
        <v>行号04</v>
      </c>
      <c r="I161" s="1" t="str">
        <f t="shared" si="11"/>
        <v>序号08</v>
      </c>
      <c r="J161" s="22" t="s">
        <v>181</v>
      </c>
      <c r="K161" s="1"/>
      <c r="L161" s="1"/>
      <c r="M161" s="1"/>
      <c r="N161" s="1"/>
    </row>
    <row r="162" spans="1:14">
      <c r="A162" s="8" t="s">
        <v>20</v>
      </c>
      <c r="B162" s="8" t="s">
        <v>24</v>
      </c>
      <c r="C162" s="10" t="s">
        <v>14</v>
      </c>
      <c r="D162" s="8" t="s">
        <v>14</v>
      </c>
      <c r="E162" s="7" t="str">
        <f t="shared" si="8"/>
        <v>04060101</v>
      </c>
      <c r="F162" s="1" t="s">
        <v>278</v>
      </c>
      <c r="G162" s="1" t="str">
        <f t="shared" si="9"/>
        <v>抽屉06</v>
      </c>
      <c r="H162" t="str">
        <f t="shared" si="10"/>
        <v>行号01</v>
      </c>
      <c r="I162" s="1" t="str">
        <f t="shared" si="11"/>
        <v>序号01</v>
      </c>
      <c r="J162" s="22" t="s">
        <v>182</v>
      </c>
      <c r="K162" s="1"/>
      <c r="L162" s="1"/>
      <c r="M162" s="1"/>
      <c r="N162" s="1"/>
    </row>
    <row r="163" spans="1:14">
      <c r="A163" s="8" t="s">
        <v>20</v>
      </c>
      <c r="B163" s="8" t="s">
        <v>24</v>
      </c>
      <c r="C163" s="10" t="s">
        <v>14</v>
      </c>
      <c r="D163" s="8" t="s">
        <v>16</v>
      </c>
      <c r="E163" s="7" t="str">
        <f t="shared" si="8"/>
        <v>04060102</v>
      </c>
      <c r="F163" s="1" t="s">
        <v>278</v>
      </c>
      <c r="G163" s="1" t="str">
        <f t="shared" si="9"/>
        <v>抽屉06</v>
      </c>
      <c r="H163" t="str">
        <f t="shared" si="10"/>
        <v>行号01</v>
      </c>
      <c r="I163" s="1" t="str">
        <f t="shared" si="11"/>
        <v>序号02</v>
      </c>
      <c r="J163" s="22" t="s">
        <v>183</v>
      </c>
      <c r="K163" s="1"/>
      <c r="L163" s="1"/>
      <c r="M163" s="1"/>
      <c r="N163" s="1"/>
    </row>
    <row r="164" spans="1:14">
      <c r="A164" s="8" t="s">
        <v>20</v>
      </c>
      <c r="B164" s="8" t="s">
        <v>24</v>
      </c>
      <c r="C164" s="10" t="s">
        <v>14</v>
      </c>
      <c r="D164" s="8" t="s">
        <v>18</v>
      </c>
      <c r="E164" s="7" t="str">
        <f t="shared" si="8"/>
        <v>04060103</v>
      </c>
      <c r="F164" s="1" t="s">
        <v>278</v>
      </c>
      <c r="G164" s="1" t="str">
        <f t="shared" si="9"/>
        <v>抽屉06</v>
      </c>
      <c r="H164" t="str">
        <f t="shared" si="10"/>
        <v>行号01</v>
      </c>
      <c r="I164" s="1" t="str">
        <f t="shared" si="11"/>
        <v>序号03</v>
      </c>
      <c r="J164" s="22" t="s">
        <v>184</v>
      </c>
      <c r="K164" s="1"/>
      <c r="L164" s="1"/>
      <c r="M164" s="1"/>
      <c r="N164" s="1"/>
    </row>
    <row r="165" spans="1:14">
      <c r="A165" s="8" t="s">
        <v>20</v>
      </c>
      <c r="B165" s="8" t="s">
        <v>24</v>
      </c>
      <c r="C165" s="10" t="s">
        <v>14</v>
      </c>
      <c r="D165" s="8" t="s">
        <v>20</v>
      </c>
      <c r="E165" s="7" t="str">
        <f t="shared" si="8"/>
        <v>04060104</v>
      </c>
      <c r="F165" s="1" t="s">
        <v>278</v>
      </c>
      <c r="G165" s="1" t="str">
        <f t="shared" si="9"/>
        <v>抽屉06</v>
      </c>
      <c r="H165" t="str">
        <f t="shared" si="10"/>
        <v>行号01</v>
      </c>
      <c r="I165" s="1" t="str">
        <f t="shared" si="11"/>
        <v>序号04</v>
      </c>
      <c r="J165" s="22" t="s">
        <v>185</v>
      </c>
      <c r="K165" s="1"/>
      <c r="L165" s="1"/>
      <c r="M165" s="1"/>
      <c r="N165" s="1"/>
    </row>
    <row r="166" spans="1:14">
      <c r="A166" s="8" t="s">
        <v>20</v>
      </c>
      <c r="B166" s="8" t="s">
        <v>24</v>
      </c>
      <c r="C166" s="10" t="s">
        <v>14</v>
      </c>
      <c r="D166" s="8" t="s">
        <v>22</v>
      </c>
      <c r="E166" s="7" t="str">
        <f t="shared" si="8"/>
        <v>04060105</v>
      </c>
      <c r="F166" s="1" t="s">
        <v>278</v>
      </c>
      <c r="G166" s="1" t="str">
        <f t="shared" si="9"/>
        <v>抽屉06</v>
      </c>
      <c r="H166" t="str">
        <f t="shared" si="10"/>
        <v>行号01</v>
      </c>
      <c r="I166" s="1" t="str">
        <f t="shared" si="11"/>
        <v>序号05</v>
      </c>
      <c r="J166" s="22" t="s">
        <v>186</v>
      </c>
      <c r="K166" s="1"/>
      <c r="L166" s="1"/>
      <c r="M166" s="1"/>
      <c r="N166" s="1"/>
    </row>
    <row r="167" spans="1:14">
      <c r="A167" s="8" t="s">
        <v>20</v>
      </c>
      <c r="B167" s="8" t="s">
        <v>24</v>
      </c>
      <c r="C167" s="10" t="s">
        <v>14</v>
      </c>
      <c r="D167" s="8" t="s">
        <v>24</v>
      </c>
      <c r="E167" s="7" t="str">
        <f t="shared" si="8"/>
        <v>04060106</v>
      </c>
      <c r="F167" s="1" t="s">
        <v>278</v>
      </c>
      <c r="G167" s="1" t="str">
        <f t="shared" si="9"/>
        <v>抽屉06</v>
      </c>
      <c r="H167" t="str">
        <f t="shared" si="10"/>
        <v>行号01</v>
      </c>
      <c r="I167" s="1" t="str">
        <f t="shared" si="11"/>
        <v>序号06</v>
      </c>
      <c r="J167" s="22" t="s">
        <v>187</v>
      </c>
      <c r="K167" s="1"/>
      <c r="L167" s="1"/>
      <c r="M167" s="1"/>
      <c r="N167" s="1"/>
    </row>
    <row r="168" spans="1:14">
      <c r="A168" s="8" t="s">
        <v>20</v>
      </c>
      <c r="B168" s="8" t="s">
        <v>24</v>
      </c>
      <c r="C168" s="10" t="s">
        <v>14</v>
      </c>
      <c r="D168" s="8" t="s">
        <v>26</v>
      </c>
      <c r="E168" s="7" t="str">
        <f t="shared" si="8"/>
        <v>04060107</v>
      </c>
      <c r="F168" s="1" t="s">
        <v>278</v>
      </c>
      <c r="G168" s="1" t="str">
        <f t="shared" si="9"/>
        <v>抽屉06</v>
      </c>
      <c r="H168" t="str">
        <f t="shared" si="10"/>
        <v>行号01</v>
      </c>
      <c r="I168" s="1" t="str">
        <f t="shared" si="11"/>
        <v>序号07</v>
      </c>
      <c r="J168" s="22" t="s">
        <v>188</v>
      </c>
      <c r="K168" s="1"/>
      <c r="L168" s="1"/>
      <c r="M168" s="1"/>
      <c r="N168" s="1"/>
    </row>
    <row r="169" spans="1:14">
      <c r="A169" s="8" t="s">
        <v>20</v>
      </c>
      <c r="B169" s="8" t="s">
        <v>24</v>
      </c>
      <c r="C169" s="10" t="s">
        <v>14</v>
      </c>
      <c r="D169" s="8" t="s">
        <v>28</v>
      </c>
      <c r="E169" s="7" t="str">
        <f t="shared" si="8"/>
        <v>04060108</v>
      </c>
      <c r="F169" s="1" t="s">
        <v>278</v>
      </c>
      <c r="G169" s="1" t="str">
        <f t="shared" si="9"/>
        <v>抽屉06</v>
      </c>
      <c r="H169" t="str">
        <f t="shared" si="10"/>
        <v>行号01</v>
      </c>
      <c r="I169" s="1" t="str">
        <f t="shared" si="11"/>
        <v>序号08</v>
      </c>
      <c r="J169" s="22" t="s">
        <v>189</v>
      </c>
      <c r="K169" s="1"/>
      <c r="L169" s="1"/>
      <c r="M169" s="1"/>
      <c r="N169" s="1"/>
    </row>
    <row r="170" spans="1:14">
      <c r="A170" s="8" t="s">
        <v>20</v>
      </c>
      <c r="B170" s="8" t="s">
        <v>24</v>
      </c>
      <c r="C170" s="8" t="s">
        <v>16</v>
      </c>
      <c r="D170" s="11" t="s">
        <v>14</v>
      </c>
      <c r="E170" s="7" t="str">
        <f t="shared" si="8"/>
        <v>04060201</v>
      </c>
      <c r="F170" s="1" t="s">
        <v>278</v>
      </c>
      <c r="G170" s="1" t="str">
        <f t="shared" si="9"/>
        <v>抽屉06</v>
      </c>
      <c r="H170" t="str">
        <f t="shared" si="10"/>
        <v>行号02</v>
      </c>
      <c r="I170" s="1" t="str">
        <f t="shared" si="11"/>
        <v>序号01</v>
      </c>
      <c r="J170" s="22" t="s">
        <v>190</v>
      </c>
      <c r="K170" s="1"/>
      <c r="L170" s="1"/>
      <c r="M170" s="1"/>
      <c r="N170" s="1"/>
    </row>
    <row r="171" spans="1:14">
      <c r="A171" s="8" t="s">
        <v>20</v>
      </c>
      <c r="B171" s="8" t="s">
        <v>24</v>
      </c>
      <c r="C171" s="8" t="s">
        <v>16</v>
      </c>
      <c r="D171" s="11" t="s">
        <v>16</v>
      </c>
      <c r="E171" s="7" t="str">
        <f t="shared" si="8"/>
        <v>04060202</v>
      </c>
      <c r="F171" s="1" t="s">
        <v>278</v>
      </c>
      <c r="G171" s="1" t="str">
        <f t="shared" si="9"/>
        <v>抽屉06</v>
      </c>
      <c r="H171" t="str">
        <f t="shared" si="10"/>
        <v>行号02</v>
      </c>
      <c r="I171" s="1" t="str">
        <f t="shared" si="11"/>
        <v>序号02</v>
      </c>
      <c r="J171" s="22" t="s">
        <v>191</v>
      </c>
      <c r="K171" s="1"/>
      <c r="L171" s="1"/>
      <c r="M171" s="1"/>
      <c r="N171" s="1"/>
    </row>
    <row r="172" spans="1:14">
      <c r="A172" s="8" t="s">
        <v>20</v>
      </c>
      <c r="B172" s="8" t="s">
        <v>24</v>
      </c>
      <c r="C172" s="8" t="s">
        <v>16</v>
      </c>
      <c r="D172" s="11" t="s">
        <v>18</v>
      </c>
      <c r="E172" s="7" t="str">
        <f t="shared" si="8"/>
        <v>04060203</v>
      </c>
      <c r="F172" s="1" t="s">
        <v>278</v>
      </c>
      <c r="G172" s="1" t="str">
        <f t="shared" si="9"/>
        <v>抽屉06</v>
      </c>
      <c r="H172" t="str">
        <f t="shared" si="10"/>
        <v>行号02</v>
      </c>
      <c r="I172" s="1" t="str">
        <f t="shared" si="11"/>
        <v>序号03</v>
      </c>
      <c r="J172" s="22" t="s">
        <v>192</v>
      </c>
      <c r="K172" s="1"/>
      <c r="L172" s="1"/>
      <c r="M172" s="1"/>
      <c r="N172" s="1"/>
    </row>
    <row r="173" spans="1:14">
      <c r="A173" s="8" t="s">
        <v>20</v>
      </c>
      <c r="B173" s="8" t="s">
        <v>24</v>
      </c>
      <c r="C173" s="8" t="s">
        <v>16</v>
      </c>
      <c r="D173" s="11" t="s">
        <v>20</v>
      </c>
      <c r="E173" s="7" t="str">
        <f t="shared" si="8"/>
        <v>04060204</v>
      </c>
      <c r="F173" s="1" t="s">
        <v>278</v>
      </c>
      <c r="G173" s="1" t="str">
        <f t="shared" si="9"/>
        <v>抽屉06</v>
      </c>
      <c r="H173" t="str">
        <f t="shared" si="10"/>
        <v>行号02</v>
      </c>
      <c r="I173" s="1" t="str">
        <f t="shared" si="11"/>
        <v>序号04</v>
      </c>
      <c r="J173" s="22" t="s">
        <v>193</v>
      </c>
      <c r="K173" s="1"/>
      <c r="L173" s="1"/>
      <c r="M173" s="1"/>
      <c r="N173" s="1"/>
    </row>
    <row r="174" spans="1:14">
      <c r="A174" s="8" t="s">
        <v>20</v>
      </c>
      <c r="B174" s="8" t="s">
        <v>24</v>
      </c>
      <c r="C174" s="8" t="s">
        <v>16</v>
      </c>
      <c r="D174" s="11" t="s">
        <v>22</v>
      </c>
      <c r="E174" s="7" t="str">
        <f t="shared" si="8"/>
        <v>04060205</v>
      </c>
      <c r="F174" s="1" t="s">
        <v>278</v>
      </c>
      <c r="G174" s="1" t="str">
        <f t="shared" si="9"/>
        <v>抽屉06</v>
      </c>
      <c r="H174" t="str">
        <f t="shared" si="10"/>
        <v>行号02</v>
      </c>
      <c r="I174" s="1" t="str">
        <f t="shared" si="11"/>
        <v>序号05</v>
      </c>
      <c r="J174" s="22" t="s">
        <v>194</v>
      </c>
      <c r="K174" s="1"/>
      <c r="L174" s="1"/>
      <c r="M174" s="1"/>
      <c r="N174" s="1"/>
    </row>
    <row r="175" spans="1:14">
      <c r="A175" s="8" t="s">
        <v>20</v>
      </c>
      <c r="B175" s="8" t="s">
        <v>24</v>
      </c>
      <c r="C175" s="8" t="s">
        <v>16</v>
      </c>
      <c r="D175" s="11" t="s">
        <v>24</v>
      </c>
      <c r="E175" s="7" t="str">
        <f t="shared" si="8"/>
        <v>04060206</v>
      </c>
      <c r="F175" s="1" t="s">
        <v>278</v>
      </c>
      <c r="G175" s="1" t="str">
        <f t="shared" si="9"/>
        <v>抽屉06</v>
      </c>
      <c r="H175" t="str">
        <f t="shared" si="10"/>
        <v>行号02</v>
      </c>
      <c r="I175" s="1" t="str">
        <f t="shared" si="11"/>
        <v>序号06</v>
      </c>
      <c r="J175" s="22" t="s">
        <v>195</v>
      </c>
      <c r="K175" s="1"/>
      <c r="L175" s="1"/>
      <c r="M175" s="1"/>
      <c r="N175" s="1"/>
    </row>
    <row r="176" spans="1:14">
      <c r="A176" s="8" t="s">
        <v>20</v>
      </c>
      <c r="B176" s="8" t="s">
        <v>24</v>
      </c>
      <c r="C176" s="8" t="s">
        <v>16</v>
      </c>
      <c r="D176" s="11" t="s">
        <v>26</v>
      </c>
      <c r="E176" s="7" t="str">
        <f t="shared" si="8"/>
        <v>04060207</v>
      </c>
      <c r="F176" s="1" t="s">
        <v>278</v>
      </c>
      <c r="G176" s="1" t="str">
        <f t="shared" si="9"/>
        <v>抽屉06</v>
      </c>
      <c r="H176" t="str">
        <f t="shared" si="10"/>
        <v>行号02</v>
      </c>
      <c r="I176" s="1" t="str">
        <f t="shared" si="11"/>
        <v>序号07</v>
      </c>
      <c r="J176" s="22" t="s">
        <v>196</v>
      </c>
      <c r="K176" s="1"/>
      <c r="L176" s="1"/>
      <c r="M176" s="1"/>
      <c r="N176" s="1"/>
    </row>
    <row r="177" spans="1:14">
      <c r="A177" s="8" t="s">
        <v>20</v>
      </c>
      <c r="B177" s="8" t="s">
        <v>24</v>
      </c>
      <c r="C177" s="8" t="s">
        <v>16</v>
      </c>
      <c r="D177" s="11" t="s">
        <v>28</v>
      </c>
      <c r="E177" s="7" t="str">
        <f t="shared" si="8"/>
        <v>04060208</v>
      </c>
      <c r="F177" s="1" t="s">
        <v>278</v>
      </c>
      <c r="G177" s="1" t="str">
        <f t="shared" si="9"/>
        <v>抽屉06</v>
      </c>
      <c r="H177" t="str">
        <f t="shared" si="10"/>
        <v>行号02</v>
      </c>
      <c r="I177" s="1" t="str">
        <f t="shared" si="11"/>
        <v>序号08</v>
      </c>
      <c r="J177" s="22" t="s">
        <v>197</v>
      </c>
      <c r="K177" s="1"/>
      <c r="L177" s="1"/>
      <c r="M177" s="1"/>
      <c r="N177" s="1"/>
    </row>
    <row r="178" spans="1:14">
      <c r="A178" s="8" t="s">
        <v>20</v>
      </c>
      <c r="B178" s="8" t="s">
        <v>24</v>
      </c>
      <c r="C178" s="10" t="s">
        <v>18</v>
      </c>
      <c r="D178" s="8" t="s">
        <v>14</v>
      </c>
      <c r="E178" s="7" t="str">
        <f t="shared" si="8"/>
        <v>04060301</v>
      </c>
      <c r="F178" s="1" t="s">
        <v>278</v>
      </c>
      <c r="G178" s="1" t="str">
        <f t="shared" si="9"/>
        <v>抽屉06</v>
      </c>
      <c r="H178" t="str">
        <f t="shared" si="10"/>
        <v>行号03</v>
      </c>
      <c r="I178" s="1" t="str">
        <f t="shared" si="11"/>
        <v>序号01</v>
      </c>
      <c r="J178" s="22" t="s">
        <v>198</v>
      </c>
      <c r="K178" s="1"/>
      <c r="L178" s="1"/>
      <c r="M178" s="1"/>
      <c r="N178" s="1"/>
    </row>
    <row r="179" spans="1:14">
      <c r="A179" s="8" t="s">
        <v>20</v>
      </c>
      <c r="B179" s="8" t="s">
        <v>24</v>
      </c>
      <c r="C179" s="10" t="s">
        <v>18</v>
      </c>
      <c r="D179" s="8" t="s">
        <v>16</v>
      </c>
      <c r="E179" s="7" t="str">
        <f t="shared" si="8"/>
        <v>04060302</v>
      </c>
      <c r="F179" s="1" t="s">
        <v>278</v>
      </c>
      <c r="G179" s="1" t="str">
        <f t="shared" si="9"/>
        <v>抽屉06</v>
      </c>
      <c r="H179" t="str">
        <f t="shared" si="10"/>
        <v>行号03</v>
      </c>
      <c r="I179" s="1" t="str">
        <f t="shared" si="11"/>
        <v>序号02</v>
      </c>
      <c r="J179" s="22" t="s">
        <v>199</v>
      </c>
      <c r="K179" s="1"/>
      <c r="L179" s="1"/>
      <c r="M179" s="1"/>
      <c r="N179" s="1"/>
    </row>
    <row r="180" spans="1:14">
      <c r="A180" s="8" t="s">
        <v>20</v>
      </c>
      <c r="B180" s="8" t="s">
        <v>24</v>
      </c>
      <c r="C180" s="10" t="s">
        <v>18</v>
      </c>
      <c r="D180" s="8" t="s">
        <v>18</v>
      </c>
      <c r="E180" s="7" t="str">
        <f t="shared" si="8"/>
        <v>04060303</v>
      </c>
      <c r="F180" s="1" t="s">
        <v>278</v>
      </c>
      <c r="G180" s="1" t="str">
        <f t="shared" si="9"/>
        <v>抽屉06</v>
      </c>
      <c r="H180" t="str">
        <f t="shared" si="10"/>
        <v>行号03</v>
      </c>
      <c r="I180" s="1" t="str">
        <f t="shared" si="11"/>
        <v>序号03</v>
      </c>
      <c r="J180" s="22" t="s">
        <v>200</v>
      </c>
      <c r="K180" s="1"/>
      <c r="L180" s="1"/>
      <c r="M180" s="1"/>
      <c r="N180" s="1"/>
    </row>
    <row r="181" spans="1:14">
      <c r="A181" s="8" t="s">
        <v>20</v>
      </c>
      <c r="B181" s="8" t="s">
        <v>24</v>
      </c>
      <c r="C181" s="10" t="s">
        <v>18</v>
      </c>
      <c r="D181" s="8" t="s">
        <v>20</v>
      </c>
      <c r="E181" s="7" t="str">
        <f t="shared" si="8"/>
        <v>04060304</v>
      </c>
      <c r="F181" s="1" t="s">
        <v>278</v>
      </c>
      <c r="G181" s="1" t="str">
        <f t="shared" si="9"/>
        <v>抽屉06</v>
      </c>
      <c r="H181" t="str">
        <f t="shared" si="10"/>
        <v>行号03</v>
      </c>
      <c r="I181" s="1" t="str">
        <f t="shared" si="11"/>
        <v>序号04</v>
      </c>
      <c r="J181" s="22" t="s">
        <v>201</v>
      </c>
      <c r="K181" s="1"/>
      <c r="L181" s="1"/>
      <c r="M181" s="1"/>
      <c r="N181" s="1"/>
    </row>
    <row r="182" spans="1:14">
      <c r="A182" s="8" t="s">
        <v>20</v>
      </c>
      <c r="B182" s="8" t="s">
        <v>24</v>
      </c>
      <c r="C182" s="10" t="s">
        <v>18</v>
      </c>
      <c r="D182" s="8" t="s">
        <v>22</v>
      </c>
      <c r="E182" s="7" t="str">
        <f t="shared" si="8"/>
        <v>04060305</v>
      </c>
      <c r="F182" s="1" t="s">
        <v>278</v>
      </c>
      <c r="G182" s="1" t="str">
        <f t="shared" si="9"/>
        <v>抽屉06</v>
      </c>
      <c r="H182" t="str">
        <f t="shared" si="10"/>
        <v>行号03</v>
      </c>
      <c r="I182" s="1" t="str">
        <f t="shared" si="11"/>
        <v>序号05</v>
      </c>
      <c r="J182" s="22" t="s">
        <v>202</v>
      </c>
      <c r="K182" s="1"/>
      <c r="L182" s="1"/>
      <c r="M182" s="1"/>
      <c r="N182" s="1"/>
    </row>
    <row r="183" spans="1:14">
      <c r="A183" s="8" t="s">
        <v>20</v>
      </c>
      <c r="B183" s="8" t="s">
        <v>24</v>
      </c>
      <c r="C183" s="10" t="s">
        <v>18</v>
      </c>
      <c r="D183" s="8" t="s">
        <v>24</v>
      </c>
      <c r="E183" s="7" t="str">
        <f t="shared" si="8"/>
        <v>04060306</v>
      </c>
      <c r="F183" s="1" t="s">
        <v>278</v>
      </c>
      <c r="G183" s="1" t="str">
        <f t="shared" si="9"/>
        <v>抽屉06</v>
      </c>
      <c r="H183" t="str">
        <f t="shared" si="10"/>
        <v>行号03</v>
      </c>
      <c r="I183" s="1" t="str">
        <f t="shared" si="11"/>
        <v>序号06</v>
      </c>
      <c r="J183" s="22" t="s">
        <v>203</v>
      </c>
      <c r="K183" s="1"/>
      <c r="L183" s="1"/>
      <c r="M183" s="1"/>
      <c r="N183" s="1"/>
    </row>
    <row r="184" spans="1:14">
      <c r="A184" s="8" t="s">
        <v>20</v>
      </c>
      <c r="B184" s="8" t="s">
        <v>24</v>
      </c>
      <c r="C184" s="10" t="s">
        <v>18</v>
      </c>
      <c r="D184" s="8" t="s">
        <v>26</v>
      </c>
      <c r="E184" s="7" t="str">
        <f t="shared" si="8"/>
        <v>04060307</v>
      </c>
      <c r="F184" s="1" t="s">
        <v>278</v>
      </c>
      <c r="G184" s="1" t="str">
        <f t="shared" si="9"/>
        <v>抽屉06</v>
      </c>
      <c r="H184" t="str">
        <f t="shared" si="10"/>
        <v>行号03</v>
      </c>
      <c r="I184" s="1" t="str">
        <f t="shared" si="11"/>
        <v>序号07</v>
      </c>
      <c r="J184" s="22" t="s">
        <v>204</v>
      </c>
      <c r="K184" s="1"/>
      <c r="L184" s="1"/>
      <c r="M184" s="1"/>
      <c r="N184" s="1"/>
    </row>
    <row r="185" spans="1:14">
      <c r="A185" s="8" t="s">
        <v>20</v>
      </c>
      <c r="B185" s="8" t="s">
        <v>24</v>
      </c>
      <c r="C185" s="10" t="s">
        <v>18</v>
      </c>
      <c r="D185" s="8" t="s">
        <v>28</v>
      </c>
      <c r="E185" s="7" t="str">
        <f t="shared" si="8"/>
        <v>04060308</v>
      </c>
      <c r="F185" s="1" t="s">
        <v>278</v>
      </c>
      <c r="G185" s="1" t="str">
        <f t="shared" si="9"/>
        <v>抽屉06</v>
      </c>
      <c r="H185" t="str">
        <f t="shared" si="10"/>
        <v>行号03</v>
      </c>
      <c r="I185" s="1" t="str">
        <f t="shared" si="11"/>
        <v>序号08</v>
      </c>
      <c r="J185" s="22" t="s">
        <v>205</v>
      </c>
      <c r="K185" s="1"/>
      <c r="L185" s="1"/>
      <c r="M185" s="1"/>
      <c r="N185" s="1"/>
    </row>
    <row r="186" spans="1:14">
      <c r="A186" s="8" t="s">
        <v>20</v>
      </c>
      <c r="B186" s="8" t="s">
        <v>24</v>
      </c>
      <c r="C186" s="8" t="s">
        <v>20</v>
      </c>
      <c r="D186" s="11" t="s">
        <v>14</v>
      </c>
      <c r="E186" s="7" t="str">
        <f t="shared" si="8"/>
        <v>04060401</v>
      </c>
      <c r="F186" s="1" t="s">
        <v>278</v>
      </c>
      <c r="G186" s="1" t="str">
        <f t="shared" si="9"/>
        <v>抽屉06</v>
      </c>
      <c r="H186" t="str">
        <f t="shared" si="10"/>
        <v>行号04</v>
      </c>
      <c r="I186" s="1" t="str">
        <f t="shared" si="11"/>
        <v>序号01</v>
      </c>
      <c r="J186" s="22" t="s">
        <v>206</v>
      </c>
      <c r="K186" s="1"/>
      <c r="L186" s="1"/>
      <c r="M186" s="1"/>
      <c r="N186" s="1"/>
    </row>
    <row r="187" spans="1:14">
      <c r="A187" s="8" t="s">
        <v>20</v>
      </c>
      <c r="B187" s="8" t="s">
        <v>24</v>
      </c>
      <c r="C187" s="8" t="s">
        <v>20</v>
      </c>
      <c r="D187" s="11" t="s">
        <v>16</v>
      </c>
      <c r="E187" s="7" t="str">
        <f t="shared" si="8"/>
        <v>04060402</v>
      </c>
      <c r="F187" s="1" t="s">
        <v>278</v>
      </c>
      <c r="G187" s="1" t="str">
        <f t="shared" si="9"/>
        <v>抽屉06</v>
      </c>
      <c r="H187" t="str">
        <f t="shared" si="10"/>
        <v>行号04</v>
      </c>
      <c r="I187" s="1" t="str">
        <f t="shared" si="11"/>
        <v>序号02</v>
      </c>
      <c r="J187" s="22" t="s">
        <v>207</v>
      </c>
      <c r="K187" s="1"/>
      <c r="L187" s="1"/>
      <c r="M187" s="1"/>
      <c r="N187" s="1"/>
    </row>
    <row r="188" spans="1:14">
      <c r="A188" s="8" t="s">
        <v>20</v>
      </c>
      <c r="B188" s="8" t="s">
        <v>24</v>
      </c>
      <c r="C188" s="8" t="s">
        <v>20</v>
      </c>
      <c r="D188" s="11" t="s">
        <v>18</v>
      </c>
      <c r="E188" s="7" t="str">
        <f t="shared" si="8"/>
        <v>04060403</v>
      </c>
      <c r="F188" s="1" t="s">
        <v>278</v>
      </c>
      <c r="G188" s="1" t="str">
        <f t="shared" si="9"/>
        <v>抽屉06</v>
      </c>
      <c r="H188" t="str">
        <f t="shared" si="10"/>
        <v>行号04</v>
      </c>
      <c r="I188" s="1" t="str">
        <f t="shared" si="11"/>
        <v>序号03</v>
      </c>
      <c r="J188" s="22" t="s">
        <v>208</v>
      </c>
      <c r="K188" s="1"/>
      <c r="L188" s="1"/>
      <c r="M188" s="1"/>
      <c r="N188" s="1"/>
    </row>
    <row r="189" spans="1:14">
      <c r="A189" s="8" t="s">
        <v>20</v>
      </c>
      <c r="B189" s="8" t="s">
        <v>24</v>
      </c>
      <c r="C189" s="8" t="s">
        <v>20</v>
      </c>
      <c r="D189" s="11" t="s">
        <v>20</v>
      </c>
      <c r="E189" s="7" t="str">
        <f t="shared" si="8"/>
        <v>04060404</v>
      </c>
      <c r="F189" s="1" t="s">
        <v>278</v>
      </c>
      <c r="G189" s="1" t="str">
        <f t="shared" si="9"/>
        <v>抽屉06</v>
      </c>
      <c r="H189" t="str">
        <f t="shared" si="10"/>
        <v>行号04</v>
      </c>
      <c r="I189" s="1" t="str">
        <f t="shared" si="11"/>
        <v>序号04</v>
      </c>
      <c r="J189" s="22" t="s">
        <v>209</v>
      </c>
      <c r="K189" s="1"/>
      <c r="L189" s="1"/>
      <c r="M189" s="1"/>
      <c r="N189" s="1"/>
    </row>
    <row r="190" spans="1:14">
      <c r="A190" s="8" t="s">
        <v>20</v>
      </c>
      <c r="B190" s="8" t="s">
        <v>24</v>
      </c>
      <c r="C190" s="8" t="s">
        <v>20</v>
      </c>
      <c r="D190" s="11" t="s">
        <v>22</v>
      </c>
      <c r="E190" s="7" t="str">
        <f t="shared" si="8"/>
        <v>04060405</v>
      </c>
      <c r="F190" s="1" t="s">
        <v>278</v>
      </c>
      <c r="G190" s="1" t="str">
        <f t="shared" si="9"/>
        <v>抽屉06</v>
      </c>
      <c r="H190" t="str">
        <f t="shared" si="10"/>
        <v>行号04</v>
      </c>
      <c r="I190" s="1" t="str">
        <f t="shared" si="11"/>
        <v>序号05</v>
      </c>
      <c r="J190" s="22" t="s">
        <v>210</v>
      </c>
      <c r="K190" s="1"/>
      <c r="L190" s="1"/>
      <c r="M190" s="1"/>
      <c r="N190" s="1"/>
    </row>
    <row r="191" spans="1:14">
      <c r="A191" s="8" t="s">
        <v>20</v>
      </c>
      <c r="B191" s="8" t="s">
        <v>24</v>
      </c>
      <c r="C191" s="8" t="s">
        <v>20</v>
      </c>
      <c r="D191" s="11" t="s">
        <v>24</v>
      </c>
      <c r="E191" s="7" t="str">
        <f t="shared" si="8"/>
        <v>04060406</v>
      </c>
      <c r="F191" s="1" t="s">
        <v>278</v>
      </c>
      <c r="G191" s="1" t="str">
        <f t="shared" si="9"/>
        <v>抽屉06</v>
      </c>
      <c r="H191" t="str">
        <f t="shared" si="10"/>
        <v>行号04</v>
      </c>
      <c r="I191" s="1" t="str">
        <f t="shared" si="11"/>
        <v>序号06</v>
      </c>
      <c r="J191" s="22" t="s">
        <v>211</v>
      </c>
      <c r="K191" s="1"/>
      <c r="L191" s="1"/>
      <c r="M191" s="1"/>
      <c r="N191" s="1"/>
    </row>
    <row r="192" spans="1:14">
      <c r="A192" s="8" t="s">
        <v>20</v>
      </c>
      <c r="B192" s="8" t="s">
        <v>24</v>
      </c>
      <c r="C192" s="8" t="s">
        <v>20</v>
      </c>
      <c r="D192" s="11" t="s">
        <v>26</v>
      </c>
      <c r="E192" s="7" t="str">
        <f t="shared" si="8"/>
        <v>04060407</v>
      </c>
      <c r="F192" s="1" t="s">
        <v>278</v>
      </c>
      <c r="G192" s="1" t="str">
        <f t="shared" si="9"/>
        <v>抽屉06</v>
      </c>
      <c r="H192" t="str">
        <f t="shared" si="10"/>
        <v>行号04</v>
      </c>
      <c r="I192" s="1" t="str">
        <f t="shared" si="11"/>
        <v>序号07</v>
      </c>
      <c r="J192" s="22" t="s">
        <v>212</v>
      </c>
      <c r="K192" s="1"/>
      <c r="L192" s="1"/>
      <c r="M192" s="1"/>
      <c r="N192" s="1"/>
    </row>
    <row r="193" spans="1:14">
      <c r="A193" s="8" t="s">
        <v>20</v>
      </c>
      <c r="B193" s="8" t="s">
        <v>24</v>
      </c>
      <c r="C193" s="8" t="s">
        <v>20</v>
      </c>
      <c r="D193" s="11" t="s">
        <v>28</v>
      </c>
      <c r="E193" s="7" t="str">
        <f t="shared" si="8"/>
        <v>04060408</v>
      </c>
      <c r="F193" s="1" t="s">
        <v>278</v>
      </c>
      <c r="G193" s="1" t="str">
        <f t="shared" si="9"/>
        <v>抽屉06</v>
      </c>
      <c r="H193" t="str">
        <f t="shared" si="10"/>
        <v>行号04</v>
      </c>
      <c r="I193" s="1" t="str">
        <f t="shared" si="11"/>
        <v>序号08</v>
      </c>
      <c r="J193" s="22" t="s">
        <v>213</v>
      </c>
      <c r="K193" s="1"/>
      <c r="L193" s="1"/>
      <c r="M193" s="1"/>
      <c r="N193" s="1"/>
    </row>
    <row r="194" spans="1:14">
      <c r="A194" s="8" t="s">
        <v>20</v>
      </c>
      <c r="B194" s="9" t="s">
        <v>26</v>
      </c>
      <c r="C194" s="10" t="s">
        <v>14</v>
      </c>
      <c r="D194" s="8" t="s">
        <v>14</v>
      </c>
      <c r="E194" s="7" t="str">
        <f t="shared" ref="E194:E257" si="12">A194&amp;B194&amp;C194&amp;D194</f>
        <v>04070101</v>
      </c>
      <c r="F194" s="1" t="s">
        <v>278</v>
      </c>
      <c r="G194" s="1" t="str">
        <f t="shared" ref="G194:G257" si="13">"抽屉"&amp;B194</f>
        <v>抽屉07</v>
      </c>
      <c r="H194" t="str">
        <f t="shared" ref="H194:H257" si="14">"行号"&amp;C194</f>
        <v>行号01</v>
      </c>
      <c r="I194" s="1" t="str">
        <f t="shared" ref="I194:I257" si="15">"序号"&amp;D194</f>
        <v>序号01</v>
      </c>
      <c r="J194" s="22" t="s">
        <v>214</v>
      </c>
      <c r="K194" s="1"/>
      <c r="L194" s="1"/>
      <c r="M194" s="1"/>
      <c r="N194" s="1"/>
    </row>
    <row r="195" spans="1:14">
      <c r="A195" s="8" t="s">
        <v>20</v>
      </c>
      <c r="B195" s="9" t="s">
        <v>26</v>
      </c>
      <c r="C195" s="10" t="s">
        <v>14</v>
      </c>
      <c r="D195" s="8" t="s">
        <v>16</v>
      </c>
      <c r="E195" s="7" t="str">
        <f t="shared" si="12"/>
        <v>04070102</v>
      </c>
      <c r="F195" s="1" t="s">
        <v>278</v>
      </c>
      <c r="G195" s="1" t="str">
        <f t="shared" si="13"/>
        <v>抽屉07</v>
      </c>
      <c r="H195" t="str">
        <f t="shared" si="14"/>
        <v>行号01</v>
      </c>
      <c r="I195" s="1" t="str">
        <f t="shared" si="15"/>
        <v>序号02</v>
      </c>
      <c r="J195" s="22" t="s">
        <v>215</v>
      </c>
      <c r="K195" s="1"/>
      <c r="L195" s="1"/>
      <c r="M195" s="1"/>
      <c r="N195" s="1"/>
    </row>
    <row r="196" spans="1:14">
      <c r="A196" s="8" t="s">
        <v>20</v>
      </c>
      <c r="B196" s="9" t="s">
        <v>26</v>
      </c>
      <c r="C196" s="10" t="s">
        <v>14</v>
      </c>
      <c r="D196" s="8" t="s">
        <v>18</v>
      </c>
      <c r="E196" s="7" t="str">
        <f t="shared" si="12"/>
        <v>04070103</v>
      </c>
      <c r="F196" s="1" t="s">
        <v>278</v>
      </c>
      <c r="G196" s="1" t="str">
        <f t="shared" si="13"/>
        <v>抽屉07</v>
      </c>
      <c r="H196" t="str">
        <f t="shared" si="14"/>
        <v>行号01</v>
      </c>
      <c r="I196" s="1" t="str">
        <f t="shared" si="15"/>
        <v>序号03</v>
      </c>
      <c r="J196" s="22" t="s">
        <v>216</v>
      </c>
      <c r="K196" s="1"/>
      <c r="L196" s="1"/>
      <c r="M196" s="1"/>
      <c r="N196" s="1"/>
    </row>
    <row r="197" spans="1:14">
      <c r="A197" s="8" t="s">
        <v>20</v>
      </c>
      <c r="B197" s="9" t="s">
        <v>26</v>
      </c>
      <c r="C197" s="10" t="s">
        <v>14</v>
      </c>
      <c r="D197" s="8" t="s">
        <v>20</v>
      </c>
      <c r="E197" s="7" t="str">
        <f t="shared" si="12"/>
        <v>04070104</v>
      </c>
      <c r="F197" s="1" t="s">
        <v>278</v>
      </c>
      <c r="G197" s="1" t="str">
        <f t="shared" si="13"/>
        <v>抽屉07</v>
      </c>
      <c r="H197" t="str">
        <f t="shared" si="14"/>
        <v>行号01</v>
      </c>
      <c r="I197" s="1" t="str">
        <f t="shared" si="15"/>
        <v>序号04</v>
      </c>
      <c r="J197" s="22" t="s">
        <v>217</v>
      </c>
      <c r="K197" s="1"/>
      <c r="L197" s="1"/>
      <c r="M197" s="1"/>
      <c r="N197" s="1"/>
    </row>
    <row r="198" spans="1:14">
      <c r="A198" s="8" t="s">
        <v>20</v>
      </c>
      <c r="B198" s="9" t="s">
        <v>26</v>
      </c>
      <c r="C198" s="10" t="s">
        <v>14</v>
      </c>
      <c r="D198" s="8" t="s">
        <v>22</v>
      </c>
      <c r="E198" s="7" t="str">
        <f t="shared" si="12"/>
        <v>04070105</v>
      </c>
      <c r="F198" s="1" t="s">
        <v>278</v>
      </c>
      <c r="G198" s="1" t="str">
        <f t="shared" si="13"/>
        <v>抽屉07</v>
      </c>
      <c r="H198" t="str">
        <f t="shared" si="14"/>
        <v>行号01</v>
      </c>
      <c r="I198" s="1" t="str">
        <f t="shared" si="15"/>
        <v>序号05</v>
      </c>
      <c r="J198" s="22" t="s">
        <v>218</v>
      </c>
      <c r="K198" s="1"/>
      <c r="L198" s="1"/>
      <c r="M198" s="1"/>
      <c r="N198" s="1"/>
    </row>
    <row r="199" spans="1:14">
      <c r="A199" s="8" t="s">
        <v>20</v>
      </c>
      <c r="B199" s="9" t="s">
        <v>26</v>
      </c>
      <c r="C199" s="10" t="s">
        <v>14</v>
      </c>
      <c r="D199" s="8" t="s">
        <v>24</v>
      </c>
      <c r="E199" s="7" t="str">
        <f t="shared" si="12"/>
        <v>04070106</v>
      </c>
      <c r="F199" s="1" t="s">
        <v>278</v>
      </c>
      <c r="G199" s="1" t="str">
        <f t="shared" si="13"/>
        <v>抽屉07</v>
      </c>
      <c r="H199" t="str">
        <f t="shared" si="14"/>
        <v>行号01</v>
      </c>
      <c r="I199" s="1" t="str">
        <f t="shared" si="15"/>
        <v>序号06</v>
      </c>
      <c r="J199" s="22" t="s">
        <v>219</v>
      </c>
      <c r="K199" s="1"/>
      <c r="L199" s="1"/>
      <c r="M199" s="1"/>
      <c r="N199" s="1"/>
    </row>
    <row r="200" spans="1:14">
      <c r="A200" s="8" t="s">
        <v>20</v>
      </c>
      <c r="B200" s="9" t="s">
        <v>26</v>
      </c>
      <c r="C200" s="10" t="s">
        <v>14</v>
      </c>
      <c r="D200" s="8" t="s">
        <v>26</v>
      </c>
      <c r="E200" s="7" t="str">
        <f t="shared" si="12"/>
        <v>04070107</v>
      </c>
      <c r="F200" s="1" t="s">
        <v>278</v>
      </c>
      <c r="G200" s="1" t="str">
        <f t="shared" si="13"/>
        <v>抽屉07</v>
      </c>
      <c r="H200" t="str">
        <f t="shared" si="14"/>
        <v>行号01</v>
      </c>
      <c r="I200" s="1" t="str">
        <f t="shared" si="15"/>
        <v>序号07</v>
      </c>
      <c r="J200" s="22" t="s">
        <v>220</v>
      </c>
      <c r="K200" s="1"/>
      <c r="L200" s="1"/>
      <c r="M200" s="1"/>
      <c r="N200" s="1"/>
    </row>
    <row r="201" spans="1:14">
      <c r="A201" s="8" t="s">
        <v>20</v>
      </c>
      <c r="B201" s="9" t="s">
        <v>26</v>
      </c>
      <c r="C201" s="10" t="s">
        <v>14</v>
      </c>
      <c r="D201" s="8" t="s">
        <v>28</v>
      </c>
      <c r="E201" s="7" t="str">
        <f t="shared" si="12"/>
        <v>04070108</v>
      </c>
      <c r="F201" s="1" t="s">
        <v>278</v>
      </c>
      <c r="G201" s="1" t="str">
        <f t="shared" si="13"/>
        <v>抽屉07</v>
      </c>
      <c r="H201" t="str">
        <f t="shared" si="14"/>
        <v>行号01</v>
      </c>
      <c r="I201" s="1" t="str">
        <f t="shared" si="15"/>
        <v>序号08</v>
      </c>
      <c r="J201" s="22" t="s">
        <v>221</v>
      </c>
      <c r="K201" s="1"/>
      <c r="L201" s="1"/>
      <c r="M201" s="1"/>
      <c r="N201" s="1"/>
    </row>
    <row r="202" spans="1:14">
      <c r="A202" s="8" t="s">
        <v>20</v>
      </c>
      <c r="B202" s="9" t="s">
        <v>26</v>
      </c>
      <c r="C202" s="8" t="s">
        <v>16</v>
      </c>
      <c r="D202" s="11" t="s">
        <v>14</v>
      </c>
      <c r="E202" s="7" t="str">
        <f t="shared" si="12"/>
        <v>04070201</v>
      </c>
      <c r="F202" s="1" t="s">
        <v>278</v>
      </c>
      <c r="G202" s="1" t="str">
        <f t="shared" si="13"/>
        <v>抽屉07</v>
      </c>
      <c r="H202" t="str">
        <f t="shared" si="14"/>
        <v>行号02</v>
      </c>
      <c r="I202" s="1" t="str">
        <f t="shared" si="15"/>
        <v>序号01</v>
      </c>
      <c r="J202" s="22" t="s">
        <v>222</v>
      </c>
      <c r="K202" s="1"/>
      <c r="L202" s="1"/>
      <c r="M202" s="1"/>
      <c r="N202" s="1"/>
    </row>
    <row r="203" spans="1:14">
      <c r="A203" s="8" t="s">
        <v>20</v>
      </c>
      <c r="B203" s="9" t="s">
        <v>26</v>
      </c>
      <c r="C203" s="8" t="s">
        <v>16</v>
      </c>
      <c r="D203" s="11" t="s">
        <v>16</v>
      </c>
      <c r="E203" s="7" t="str">
        <f t="shared" si="12"/>
        <v>04070202</v>
      </c>
      <c r="F203" s="1" t="s">
        <v>278</v>
      </c>
      <c r="G203" s="1" t="str">
        <f t="shared" si="13"/>
        <v>抽屉07</v>
      </c>
      <c r="H203" t="str">
        <f t="shared" si="14"/>
        <v>行号02</v>
      </c>
      <c r="I203" s="1" t="str">
        <f t="shared" si="15"/>
        <v>序号02</v>
      </c>
      <c r="J203" s="22" t="s">
        <v>223</v>
      </c>
      <c r="K203" s="1"/>
      <c r="L203" s="1"/>
      <c r="M203" s="1"/>
      <c r="N203" s="1"/>
    </row>
    <row r="204" spans="1:14">
      <c r="A204" s="8" t="s">
        <v>20</v>
      </c>
      <c r="B204" s="9" t="s">
        <v>26</v>
      </c>
      <c r="C204" s="8" t="s">
        <v>16</v>
      </c>
      <c r="D204" s="11" t="s">
        <v>18</v>
      </c>
      <c r="E204" s="7" t="str">
        <f t="shared" si="12"/>
        <v>04070203</v>
      </c>
      <c r="F204" s="1" t="s">
        <v>278</v>
      </c>
      <c r="G204" s="1" t="str">
        <f t="shared" si="13"/>
        <v>抽屉07</v>
      </c>
      <c r="H204" t="str">
        <f t="shared" si="14"/>
        <v>行号02</v>
      </c>
      <c r="I204" s="1" t="str">
        <f t="shared" si="15"/>
        <v>序号03</v>
      </c>
      <c r="J204" s="22" t="s">
        <v>224</v>
      </c>
      <c r="K204" s="1"/>
      <c r="L204" s="1"/>
      <c r="M204" s="1"/>
      <c r="N204" s="1"/>
    </row>
    <row r="205" spans="1:14">
      <c r="A205" s="8" t="s">
        <v>20</v>
      </c>
      <c r="B205" s="9" t="s">
        <v>26</v>
      </c>
      <c r="C205" s="8" t="s">
        <v>16</v>
      </c>
      <c r="D205" s="11" t="s">
        <v>20</v>
      </c>
      <c r="E205" s="7" t="str">
        <f t="shared" si="12"/>
        <v>04070204</v>
      </c>
      <c r="F205" s="1" t="s">
        <v>278</v>
      </c>
      <c r="G205" s="1" t="str">
        <f t="shared" si="13"/>
        <v>抽屉07</v>
      </c>
      <c r="H205" t="str">
        <f t="shared" si="14"/>
        <v>行号02</v>
      </c>
      <c r="I205" s="1" t="str">
        <f t="shared" si="15"/>
        <v>序号04</v>
      </c>
      <c r="J205" s="22" t="s">
        <v>225</v>
      </c>
      <c r="K205" s="1"/>
      <c r="L205" s="1"/>
      <c r="M205" s="1"/>
      <c r="N205" s="1"/>
    </row>
    <row r="206" spans="1:14">
      <c r="A206" s="8" t="s">
        <v>20</v>
      </c>
      <c r="B206" s="9" t="s">
        <v>26</v>
      </c>
      <c r="C206" s="8" t="s">
        <v>16</v>
      </c>
      <c r="D206" s="11" t="s">
        <v>22</v>
      </c>
      <c r="E206" s="7" t="str">
        <f t="shared" si="12"/>
        <v>04070205</v>
      </c>
      <c r="F206" s="1" t="s">
        <v>278</v>
      </c>
      <c r="G206" s="1" t="str">
        <f t="shared" si="13"/>
        <v>抽屉07</v>
      </c>
      <c r="H206" t="str">
        <f t="shared" si="14"/>
        <v>行号02</v>
      </c>
      <c r="I206" s="1" t="str">
        <f t="shared" si="15"/>
        <v>序号05</v>
      </c>
      <c r="J206" s="22" t="s">
        <v>226</v>
      </c>
      <c r="K206" s="1"/>
      <c r="L206" s="1"/>
      <c r="M206" s="1"/>
      <c r="N206" s="1"/>
    </row>
    <row r="207" spans="1:14">
      <c r="A207" s="8" t="s">
        <v>20</v>
      </c>
      <c r="B207" s="9" t="s">
        <v>26</v>
      </c>
      <c r="C207" s="8" t="s">
        <v>16</v>
      </c>
      <c r="D207" s="11" t="s">
        <v>24</v>
      </c>
      <c r="E207" s="7" t="str">
        <f t="shared" si="12"/>
        <v>04070206</v>
      </c>
      <c r="F207" s="1" t="s">
        <v>278</v>
      </c>
      <c r="G207" s="1" t="str">
        <f t="shared" si="13"/>
        <v>抽屉07</v>
      </c>
      <c r="H207" t="str">
        <f t="shared" si="14"/>
        <v>行号02</v>
      </c>
      <c r="I207" s="1" t="str">
        <f t="shared" si="15"/>
        <v>序号06</v>
      </c>
      <c r="J207" s="22" t="s">
        <v>227</v>
      </c>
      <c r="K207" s="1"/>
      <c r="L207" s="1"/>
      <c r="M207" s="1"/>
      <c r="N207" s="1"/>
    </row>
    <row r="208" spans="1:14">
      <c r="A208" s="8" t="s">
        <v>20</v>
      </c>
      <c r="B208" s="9" t="s">
        <v>26</v>
      </c>
      <c r="C208" s="8" t="s">
        <v>16</v>
      </c>
      <c r="D208" s="11" t="s">
        <v>26</v>
      </c>
      <c r="E208" s="7" t="str">
        <f t="shared" si="12"/>
        <v>04070207</v>
      </c>
      <c r="F208" s="1" t="s">
        <v>278</v>
      </c>
      <c r="G208" s="1" t="str">
        <f t="shared" si="13"/>
        <v>抽屉07</v>
      </c>
      <c r="H208" t="str">
        <f t="shared" si="14"/>
        <v>行号02</v>
      </c>
      <c r="I208" s="1" t="str">
        <f t="shared" si="15"/>
        <v>序号07</v>
      </c>
      <c r="J208" s="22" t="s">
        <v>228</v>
      </c>
      <c r="K208" s="1"/>
      <c r="L208" s="1"/>
      <c r="M208" s="1"/>
      <c r="N208" s="1"/>
    </row>
    <row r="209" spans="1:14">
      <c r="A209" s="8" t="s">
        <v>20</v>
      </c>
      <c r="B209" s="9" t="s">
        <v>26</v>
      </c>
      <c r="C209" s="8" t="s">
        <v>16</v>
      </c>
      <c r="D209" s="11" t="s">
        <v>28</v>
      </c>
      <c r="E209" s="7" t="str">
        <f t="shared" si="12"/>
        <v>04070208</v>
      </c>
      <c r="F209" s="1" t="s">
        <v>278</v>
      </c>
      <c r="G209" s="1" t="str">
        <f t="shared" si="13"/>
        <v>抽屉07</v>
      </c>
      <c r="H209" t="str">
        <f t="shared" si="14"/>
        <v>行号02</v>
      </c>
      <c r="I209" s="1" t="str">
        <f t="shared" si="15"/>
        <v>序号08</v>
      </c>
      <c r="J209" s="22" t="s">
        <v>229</v>
      </c>
      <c r="K209" s="1"/>
      <c r="L209" s="1"/>
      <c r="M209" s="1"/>
      <c r="N209" s="1"/>
    </row>
    <row r="210" spans="1:14">
      <c r="A210" s="8" t="s">
        <v>20</v>
      </c>
      <c r="B210" s="9" t="s">
        <v>26</v>
      </c>
      <c r="C210" s="10" t="s">
        <v>18</v>
      </c>
      <c r="D210" s="8" t="s">
        <v>14</v>
      </c>
      <c r="E210" s="7" t="str">
        <f t="shared" si="12"/>
        <v>04070301</v>
      </c>
      <c r="F210" s="1" t="s">
        <v>278</v>
      </c>
      <c r="G210" s="1" t="str">
        <f t="shared" si="13"/>
        <v>抽屉07</v>
      </c>
      <c r="H210" t="str">
        <f t="shared" si="14"/>
        <v>行号03</v>
      </c>
      <c r="I210" s="1" t="str">
        <f t="shared" si="15"/>
        <v>序号01</v>
      </c>
      <c r="J210" s="22" t="s">
        <v>230</v>
      </c>
      <c r="K210" s="1"/>
      <c r="L210" s="1"/>
      <c r="M210" s="1"/>
      <c r="N210" s="1"/>
    </row>
    <row r="211" spans="1:14">
      <c r="A211" s="8" t="s">
        <v>20</v>
      </c>
      <c r="B211" s="9" t="s">
        <v>26</v>
      </c>
      <c r="C211" s="10" t="s">
        <v>18</v>
      </c>
      <c r="D211" s="8" t="s">
        <v>16</v>
      </c>
      <c r="E211" s="7" t="str">
        <f t="shared" si="12"/>
        <v>04070302</v>
      </c>
      <c r="F211" s="1" t="s">
        <v>278</v>
      </c>
      <c r="G211" s="1" t="str">
        <f t="shared" si="13"/>
        <v>抽屉07</v>
      </c>
      <c r="H211" t="str">
        <f t="shared" si="14"/>
        <v>行号03</v>
      </c>
      <c r="I211" s="1" t="str">
        <f t="shared" si="15"/>
        <v>序号02</v>
      </c>
      <c r="J211" s="22" t="s">
        <v>231</v>
      </c>
      <c r="K211" s="1"/>
      <c r="L211" s="1"/>
      <c r="M211" s="1"/>
      <c r="N211" s="1"/>
    </row>
    <row r="212" spans="1:14">
      <c r="A212" s="8" t="s">
        <v>20</v>
      </c>
      <c r="B212" s="9" t="s">
        <v>26</v>
      </c>
      <c r="C212" s="10" t="s">
        <v>18</v>
      </c>
      <c r="D212" s="8" t="s">
        <v>18</v>
      </c>
      <c r="E212" s="7" t="str">
        <f t="shared" si="12"/>
        <v>04070303</v>
      </c>
      <c r="F212" s="1" t="s">
        <v>278</v>
      </c>
      <c r="G212" s="1" t="str">
        <f t="shared" si="13"/>
        <v>抽屉07</v>
      </c>
      <c r="H212" t="str">
        <f t="shared" si="14"/>
        <v>行号03</v>
      </c>
      <c r="I212" s="1" t="str">
        <f t="shared" si="15"/>
        <v>序号03</v>
      </c>
      <c r="J212" s="22" t="s">
        <v>232</v>
      </c>
      <c r="K212" s="1"/>
      <c r="L212" s="1"/>
      <c r="M212" s="1"/>
      <c r="N212" s="1"/>
    </row>
    <row r="213" spans="1:14">
      <c r="A213" s="8" t="s">
        <v>20</v>
      </c>
      <c r="B213" s="9" t="s">
        <v>26</v>
      </c>
      <c r="C213" s="10" t="s">
        <v>18</v>
      </c>
      <c r="D213" s="8" t="s">
        <v>20</v>
      </c>
      <c r="E213" s="7" t="str">
        <f t="shared" si="12"/>
        <v>04070304</v>
      </c>
      <c r="F213" s="1" t="s">
        <v>278</v>
      </c>
      <c r="G213" s="1" t="str">
        <f t="shared" si="13"/>
        <v>抽屉07</v>
      </c>
      <c r="H213" t="str">
        <f t="shared" si="14"/>
        <v>行号03</v>
      </c>
      <c r="I213" s="1" t="str">
        <f t="shared" si="15"/>
        <v>序号04</v>
      </c>
      <c r="J213" s="22" t="s">
        <v>233</v>
      </c>
      <c r="K213" s="1"/>
      <c r="L213" s="1"/>
      <c r="M213" s="1"/>
      <c r="N213" s="1"/>
    </row>
    <row r="214" spans="1:14">
      <c r="A214" s="8" t="s">
        <v>20</v>
      </c>
      <c r="B214" s="9" t="s">
        <v>26</v>
      </c>
      <c r="C214" s="10" t="s">
        <v>18</v>
      </c>
      <c r="D214" s="8" t="s">
        <v>22</v>
      </c>
      <c r="E214" s="7" t="str">
        <f t="shared" si="12"/>
        <v>04070305</v>
      </c>
      <c r="F214" s="1" t="s">
        <v>278</v>
      </c>
      <c r="G214" s="1" t="str">
        <f t="shared" si="13"/>
        <v>抽屉07</v>
      </c>
      <c r="H214" t="str">
        <f t="shared" si="14"/>
        <v>行号03</v>
      </c>
      <c r="I214" s="1" t="str">
        <f t="shared" si="15"/>
        <v>序号05</v>
      </c>
      <c r="J214" s="22" t="s">
        <v>234</v>
      </c>
      <c r="K214" s="1"/>
      <c r="L214" s="1"/>
      <c r="M214" s="1"/>
      <c r="N214" s="1"/>
    </row>
    <row r="215" spans="1:14">
      <c r="A215" s="8" t="s">
        <v>20</v>
      </c>
      <c r="B215" s="9" t="s">
        <v>26</v>
      </c>
      <c r="C215" s="10" t="s">
        <v>18</v>
      </c>
      <c r="D215" s="8" t="s">
        <v>24</v>
      </c>
      <c r="E215" s="7" t="str">
        <f t="shared" si="12"/>
        <v>04070306</v>
      </c>
      <c r="F215" s="1" t="s">
        <v>278</v>
      </c>
      <c r="G215" s="1" t="str">
        <f t="shared" si="13"/>
        <v>抽屉07</v>
      </c>
      <c r="H215" t="str">
        <f t="shared" si="14"/>
        <v>行号03</v>
      </c>
      <c r="I215" s="1" t="str">
        <f t="shared" si="15"/>
        <v>序号06</v>
      </c>
      <c r="J215" s="22" t="s">
        <v>235</v>
      </c>
      <c r="K215" s="1"/>
      <c r="L215" s="1"/>
      <c r="M215" s="1"/>
      <c r="N215" s="1"/>
    </row>
    <row r="216" spans="1:14">
      <c r="A216" s="8" t="s">
        <v>20</v>
      </c>
      <c r="B216" s="9" t="s">
        <v>26</v>
      </c>
      <c r="C216" s="10" t="s">
        <v>18</v>
      </c>
      <c r="D216" s="8" t="s">
        <v>26</v>
      </c>
      <c r="E216" s="7" t="str">
        <f t="shared" si="12"/>
        <v>04070307</v>
      </c>
      <c r="F216" s="1" t="s">
        <v>278</v>
      </c>
      <c r="G216" s="1" t="str">
        <f t="shared" si="13"/>
        <v>抽屉07</v>
      </c>
      <c r="H216" t="str">
        <f t="shared" si="14"/>
        <v>行号03</v>
      </c>
      <c r="I216" s="1" t="str">
        <f t="shared" si="15"/>
        <v>序号07</v>
      </c>
      <c r="J216" s="22" t="s">
        <v>236</v>
      </c>
      <c r="K216" s="1"/>
      <c r="L216" s="1"/>
      <c r="M216" s="1"/>
      <c r="N216" s="1"/>
    </row>
    <row r="217" spans="1:14">
      <c r="A217" s="8" t="s">
        <v>20</v>
      </c>
      <c r="B217" s="9" t="s">
        <v>26</v>
      </c>
      <c r="C217" s="10" t="s">
        <v>18</v>
      </c>
      <c r="D217" s="8" t="s">
        <v>28</v>
      </c>
      <c r="E217" s="7" t="str">
        <f t="shared" si="12"/>
        <v>04070308</v>
      </c>
      <c r="F217" s="1" t="s">
        <v>278</v>
      </c>
      <c r="G217" s="1" t="str">
        <f t="shared" si="13"/>
        <v>抽屉07</v>
      </c>
      <c r="H217" t="str">
        <f t="shared" si="14"/>
        <v>行号03</v>
      </c>
      <c r="I217" s="1" t="str">
        <f t="shared" si="15"/>
        <v>序号08</v>
      </c>
      <c r="J217" s="22" t="s">
        <v>237</v>
      </c>
      <c r="K217" s="1"/>
      <c r="L217" s="1"/>
      <c r="M217" s="1"/>
      <c r="N217" s="1"/>
    </row>
    <row r="218" spans="1:14">
      <c r="A218" s="8" t="s">
        <v>20</v>
      </c>
      <c r="B218" s="9" t="s">
        <v>26</v>
      </c>
      <c r="C218" s="8" t="s">
        <v>20</v>
      </c>
      <c r="D218" s="11" t="s">
        <v>14</v>
      </c>
      <c r="E218" s="7" t="str">
        <f t="shared" si="12"/>
        <v>04070401</v>
      </c>
      <c r="F218" s="1" t="s">
        <v>278</v>
      </c>
      <c r="G218" s="1" t="str">
        <f t="shared" si="13"/>
        <v>抽屉07</v>
      </c>
      <c r="H218" t="str">
        <f t="shared" si="14"/>
        <v>行号04</v>
      </c>
      <c r="I218" s="1" t="str">
        <f t="shared" si="15"/>
        <v>序号01</v>
      </c>
      <c r="J218" s="22" t="s">
        <v>238</v>
      </c>
      <c r="K218" s="1"/>
      <c r="L218" s="1"/>
      <c r="M218" s="1"/>
      <c r="N218" s="1"/>
    </row>
    <row r="219" spans="1:14">
      <c r="A219" s="8" t="s">
        <v>20</v>
      </c>
      <c r="B219" s="9" t="s">
        <v>26</v>
      </c>
      <c r="C219" s="8" t="s">
        <v>20</v>
      </c>
      <c r="D219" s="11" t="s">
        <v>16</v>
      </c>
      <c r="E219" s="7" t="str">
        <f t="shared" si="12"/>
        <v>04070402</v>
      </c>
      <c r="F219" s="1" t="s">
        <v>278</v>
      </c>
      <c r="G219" s="1" t="str">
        <f t="shared" si="13"/>
        <v>抽屉07</v>
      </c>
      <c r="H219" t="str">
        <f t="shared" si="14"/>
        <v>行号04</v>
      </c>
      <c r="I219" s="1" t="str">
        <f t="shared" si="15"/>
        <v>序号02</v>
      </c>
      <c r="J219" s="22" t="s">
        <v>239</v>
      </c>
      <c r="K219" s="1"/>
      <c r="L219" s="1"/>
      <c r="M219" s="1"/>
      <c r="N219" s="1"/>
    </row>
    <row r="220" spans="1:14">
      <c r="A220" s="8" t="s">
        <v>20</v>
      </c>
      <c r="B220" s="9" t="s">
        <v>26</v>
      </c>
      <c r="C220" s="8" t="s">
        <v>20</v>
      </c>
      <c r="D220" s="11" t="s">
        <v>18</v>
      </c>
      <c r="E220" s="7" t="str">
        <f t="shared" si="12"/>
        <v>04070403</v>
      </c>
      <c r="F220" s="1" t="s">
        <v>278</v>
      </c>
      <c r="G220" s="1" t="str">
        <f t="shared" si="13"/>
        <v>抽屉07</v>
      </c>
      <c r="H220" t="str">
        <f t="shared" si="14"/>
        <v>行号04</v>
      </c>
      <c r="I220" s="1" t="str">
        <f t="shared" si="15"/>
        <v>序号03</v>
      </c>
      <c r="J220" s="22" t="s">
        <v>240</v>
      </c>
      <c r="K220" s="1"/>
      <c r="L220" s="1"/>
      <c r="M220" s="1"/>
      <c r="N220" s="1"/>
    </row>
    <row r="221" spans="1:14">
      <c r="A221" s="8" t="s">
        <v>20</v>
      </c>
      <c r="B221" s="9" t="s">
        <v>26</v>
      </c>
      <c r="C221" s="8" t="s">
        <v>20</v>
      </c>
      <c r="D221" s="11" t="s">
        <v>20</v>
      </c>
      <c r="E221" s="7" t="str">
        <f t="shared" si="12"/>
        <v>04070404</v>
      </c>
      <c r="F221" s="1" t="s">
        <v>278</v>
      </c>
      <c r="G221" s="1" t="str">
        <f t="shared" si="13"/>
        <v>抽屉07</v>
      </c>
      <c r="H221" t="str">
        <f t="shared" si="14"/>
        <v>行号04</v>
      </c>
      <c r="I221" s="1" t="str">
        <f t="shared" si="15"/>
        <v>序号04</v>
      </c>
      <c r="J221" s="22" t="s">
        <v>241</v>
      </c>
      <c r="K221" s="1"/>
      <c r="L221" s="1"/>
      <c r="M221" s="1"/>
      <c r="N221" s="1"/>
    </row>
    <row r="222" spans="1:14">
      <c r="A222" s="8" t="s">
        <v>20</v>
      </c>
      <c r="B222" s="9" t="s">
        <v>26</v>
      </c>
      <c r="C222" s="8" t="s">
        <v>20</v>
      </c>
      <c r="D222" s="11" t="s">
        <v>22</v>
      </c>
      <c r="E222" s="7" t="str">
        <f t="shared" si="12"/>
        <v>04070405</v>
      </c>
      <c r="F222" s="1" t="s">
        <v>278</v>
      </c>
      <c r="G222" s="1" t="str">
        <f t="shared" si="13"/>
        <v>抽屉07</v>
      </c>
      <c r="H222" t="str">
        <f t="shared" si="14"/>
        <v>行号04</v>
      </c>
      <c r="I222" s="1" t="str">
        <f t="shared" si="15"/>
        <v>序号05</v>
      </c>
      <c r="J222" s="22" t="s">
        <v>242</v>
      </c>
      <c r="K222" s="1"/>
      <c r="L222" s="1"/>
      <c r="M222" s="1"/>
      <c r="N222" s="1"/>
    </row>
    <row r="223" spans="1:14">
      <c r="A223" s="8" t="s">
        <v>20</v>
      </c>
      <c r="B223" s="9" t="s">
        <v>26</v>
      </c>
      <c r="C223" s="8" t="s">
        <v>20</v>
      </c>
      <c r="D223" s="11" t="s">
        <v>24</v>
      </c>
      <c r="E223" s="7" t="str">
        <f t="shared" si="12"/>
        <v>04070406</v>
      </c>
      <c r="F223" s="1" t="s">
        <v>278</v>
      </c>
      <c r="G223" s="1" t="str">
        <f t="shared" si="13"/>
        <v>抽屉07</v>
      </c>
      <c r="H223" t="str">
        <f t="shared" si="14"/>
        <v>行号04</v>
      </c>
      <c r="I223" s="1" t="str">
        <f t="shared" si="15"/>
        <v>序号06</v>
      </c>
      <c r="J223" s="22" t="s">
        <v>243</v>
      </c>
      <c r="K223" s="1"/>
      <c r="L223" s="1"/>
      <c r="M223" s="1"/>
      <c r="N223" s="1"/>
    </row>
    <row r="224" spans="1:14">
      <c r="A224" s="8" t="s">
        <v>20</v>
      </c>
      <c r="B224" s="9" t="s">
        <v>26</v>
      </c>
      <c r="C224" s="8" t="s">
        <v>20</v>
      </c>
      <c r="D224" s="11" t="s">
        <v>26</v>
      </c>
      <c r="E224" s="7" t="str">
        <f t="shared" si="12"/>
        <v>04070407</v>
      </c>
      <c r="F224" s="1" t="s">
        <v>278</v>
      </c>
      <c r="G224" s="1" t="str">
        <f t="shared" si="13"/>
        <v>抽屉07</v>
      </c>
      <c r="H224" t="str">
        <f t="shared" si="14"/>
        <v>行号04</v>
      </c>
      <c r="I224" s="1" t="str">
        <f t="shared" si="15"/>
        <v>序号07</v>
      </c>
      <c r="J224" s="22" t="s">
        <v>244</v>
      </c>
      <c r="K224" s="1"/>
      <c r="L224" s="1"/>
      <c r="M224" s="1"/>
      <c r="N224" s="1"/>
    </row>
    <row r="225" spans="1:14">
      <c r="A225" s="8" t="s">
        <v>20</v>
      </c>
      <c r="B225" s="9" t="s">
        <v>26</v>
      </c>
      <c r="C225" s="8" t="s">
        <v>20</v>
      </c>
      <c r="D225" s="11" t="s">
        <v>28</v>
      </c>
      <c r="E225" s="7" t="str">
        <f t="shared" si="12"/>
        <v>04070408</v>
      </c>
      <c r="F225" s="1" t="s">
        <v>278</v>
      </c>
      <c r="G225" s="1" t="str">
        <f t="shared" si="13"/>
        <v>抽屉07</v>
      </c>
      <c r="H225" t="str">
        <f t="shared" si="14"/>
        <v>行号04</v>
      </c>
      <c r="I225" s="1" t="str">
        <f t="shared" si="15"/>
        <v>序号08</v>
      </c>
      <c r="J225" s="22" t="s">
        <v>245</v>
      </c>
      <c r="K225" s="1"/>
      <c r="L225" s="1"/>
      <c r="M225" s="1"/>
      <c r="N225" s="1"/>
    </row>
    <row r="226" spans="1:14">
      <c r="A226" s="8" t="s">
        <v>20</v>
      </c>
      <c r="B226" s="8" t="s">
        <v>28</v>
      </c>
      <c r="C226" s="10" t="s">
        <v>14</v>
      </c>
      <c r="D226" s="8" t="s">
        <v>14</v>
      </c>
      <c r="E226" s="7" t="str">
        <f t="shared" si="12"/>
        <v>04080101</v>
      </c>
      <c r="F226" s="1" t="s">
        <v>278</v>
      </c>
      <c r="G226" s="1" t="str">
        <f t="shared" si="13"/>
        <v>抽屉08</v>
      </c>
      <c r="H226" t="str">
        <f t="shared" si="14"/>
        <v>行号01</v>
      </c>
      <c r="I226" s="1" t="str">
        <f t="shared" si="15"/>
        <v>序号01</v>
      </c>
      <c r="J226" s="22" t="s">
        <v>246</v>
      </c>
      <c r="K226" s="1"/>
      <c r="L226" s="1"/>
      <c r="M226" s="1"/>
      <c r="N226" s="1"/>
    </row>
    <row r="227" spans="1:14">
      <c r="A227" s="8" t="s">
        <v>20</v>
      </c>
      <c r="B227" s="8" t="s">
        <v>28</v>
      </c>
      <c r="C227" s="10" t="s">
        <v>14</v>
      </c>
      <c r="D227" s="8" t="s">
        <v>16</v>
      </c>
      <c r="E227" s="7" t="str">
        <f t="shared" si="12"/>
        <v>04080102</v>
      </c>
      <c r="F227" s="1" t="s">
        <v>278</v>
      </c>
      <c r="G227" s="1" t="str">
        <f t="shared" si="13"/>
        <v>抽屉08</v>
      </c>
      <c r="H227" t="str">
        <f t="shared" si="14"/>
        <v>行号01</v>
      </c>
      <c r="I227" s="1" t="str">
        <f t="shared" si="15"/>
        <v>序号02</v>
      </c>
      <c r="J227" s="22" t="s">
        <v>247</v>
      </c>
      <c r="K227" s="1"/>
      <c r="L227" s="1"/>
      <c r="M227" s="1"/>
      <c r="N227" s="1"/>
    </row>
    <row r="228" spans="1:14">
      <c r="A228" s="8" t="s">
        <v>20</v>
      </c>
      <c r="B228" s="8" t="s">
        <v>28</v>
      </c>
      <c r="C228" s="10" t="s">
        <v>14</v>
      </c>
      <c r="D228" s="8" t="s">
        <v>18</v>
      </c>
      <c r="E228" s="7" t="str">
        <f t="shared" si="12"/>
        <v>04080103</v>
      </c>
      <c r="F228" s="1" t="s">
        <v>278</v>
      </c>
      <c r="G228" s="1" t="str">
        <f t="shared" si="13"/>
        <v>抽屉08</v>
      </c>
      <c r="H228" t="str">
        <f t="shared" si="14"/>
        <v>行号01</v>
      </c>
      <c r="I228" s="1" t="str">
        <f t="shared" si="15"/>
        <v>序号03</v>
      </c>
      <c r="J228" s="22" t="s">
        <v>248</v>
      </c>
      <c r="K228" s="1"/>
      <c r="L228" s="1"/>
      <c r="M228" s="1"/>
      <c r="N228" s="1"/>
    </row>
    <row r="229" spans="1:14">
      <c r="A229" s="8" t="s">
        <v>20</v>
      </c>
      <c r="B229" s="8" t="s">
        <v>28</v>
      </c>
      <c r="C229" s="10" t="s">
        <v>14</v>
      </c>
      <c r="D229" s="8" t="s">
        <v>20</v>
      </c>
      <c r="E229" s="7" t="str">
        <f t="shared" si="12"/>
        <v>04080104</v>
      </c>
      <c r="F229" s="1" t="s">
        <v>278</v>
      </c>
      <c r="G229" s="1" t="str">
        <f t="shared" si="13"/>
        <v>抽屉08</v>
      </c>
      <c r="H229" t="str">
        <f t="shared" si="14"/>
        <v>行号01</v>
      </c>
      <c r="I229" s="1" t="str">
        <f t="shared" si="15"/>
        <v>序号04</v>
      </c>
      <c r="J229" s="22" t="s">
        <v>249</v>
      </c>
      <c r="K229" s="1"/>
      <c r="L229" s="1"/>
      <c r="M229" s="1"/>
      <c r="N229" s="1"/>
    </row>
    <row r="230" spans="1:14">
      <c r="A230" s="8" t="s">
        <v>20</v>
      </c>
      <c r="B230" s="8" t="s">
        <v>28</v>
      </c>
      <c r="C230" s="10" t="s">
        <v>14</v>
      </c>
      <c r="D230" s="8" t="s">
        <v>22</v>
      </c>
      <c r="E230" s="7" t="str">
        <f t="shared" si="12"/>
        <v>04080105</v>
      </c>
      <c r="F230" s="1" t="s">
        <v>278</v>
      </c>
      <c r="G230" s="1" t="str">
        <f t="shared" si="13"/>
        <v>抽屉08</v>
      </c>
      <c r="H230" t="str">
        <f t="shared" si="14"/>
        <v>行号01</v>
      </c>
      <c r="I230" s="1" t="str">
        <f t="shared" si="15"/>
        <v>序号05</v>
      </c>
      <c r="J230" s="22" t="s">
        <v>250</v>
      </c>
      <c r="K230" s="1"/>
      <c r="L230" s="1"/>
      <c r="M230" s="1"/>
      <c r="N230" s="1"/>
    </row>
    <row r="231" spans="1:14">
      <c r="A231" s="8" t="s">
        <v>20</v>
      </c>
      <c r="B231" s="8" t="s">
        <v>28</v>
      </c>
      <c r="C231" s="10" t="s">
        <v>14</v>
      </c>
      <c r="D231" s="8" t="s">
        <v>24</v>
      </c>
      <c r="E231" s="7" t="str">
        <f t="shared" si="12"/>
        <v>04080106</v>
      </c>
      <c r="F231" s="1" t="s">
        <v>278</v>
      </c>
      <c r="G231" s="1" t="str">
        <f t="shared" si="13"/>
        <v>抽屉08</v>
      </c>
      <c r="H231" t="str">
        <f t="shared" si="14"/>
        <v>行号01</v>
      </c>
      <c r="I231" s="1" t="str">
        <f t="shared" si="15"/>
        <v>序号06</v>
      </c>
      <c r="J231" s="22" t="s">
        <v>251</v>
      </c>
      <c r="K231" s="1"/>
      <c r="L231" s="1"/>
      <c r="M231" s="1"/>
      <c r="N231" s="1"/>
    </row>
    <row r="232" spans="1:14">
      <c r="A232" s="8" t="s">
        <v>20</v>
      </c>
      <c r="B232" s="8" t="s">
        <v>28</v>
      </c>
      <c r="C232" s="10" t="s">
        <v>14</v>
      </c>
      <c r="D232" s="8" t="s">
        <v>26</v>
      </c>
      <c r="E232" s="7" t="str">
        <f t="shared" si="12"/>
        <v>04080107</v>
      </c>
      <c r="F232" s="1" t="s">
        <v>278</v>
      </c>
      <c r="G232" s="1" t="str">
        <f t="shared" si="13"/>
        <v>抽屉08</v>
      </c>
      <c r="H232" t="str">
        <f t="shared" si="14"/>
        <v>行号01</v>
      </c>
      <c r="I232" s="1" t="str">
        <f t="shared" si="15"/>
        <v>序号07</v>
      </c>
      <c r="J232" s="22" t="s">
        <v>252</v>
      </c>
      <c r="K232" s="1"/>
      <c r="L232" s="1"/>
      <c r="M232" s="1"/>
      <c r="N232" s="1"/>
    </row>
    <row r="233" spans="1:14">
      <c r="A233" s="8" t="s">
        <v>20</v>
      </c>
      <c r="B233" s="8" t="s">
        <v>28</v>
      </c>
      <c r="C233" s="10" t="s">
        <v>14</v>
      </c>
      <c r="D233" s="8" t="s">
        <v>28</v>
      </c>
      <c r="E233" s="7" t="str">
        <f t="shared" si="12"/>
        <v>04080108</v>
      </c>
      <c r="F233" s="1" t="s">
        <v>278</v>
      </c>
      <c r="G233" s="1" t="str">
        <f t="shared" si="13"/>
        <v>抽屉08</v>
      </c>
      <c r="H233" t="str">
        <f t="shared" si="14"/>
        <v>行号01</v>
      </c>
      <c r="I233" s="1" t="str">
        <f t="shared" si="15"/>
        <v>序号08</v>
      </c>
      <c r="J233" s="22" t="s">
        <v>253</v>
      </c>
      <c r="K233" s="1"/>
      <c r="L233" s="1"/>
      <c r="M233" s="1"/>
      <c r="N233" s="1"/>
    </row>
    <row r="234" spans="1:14">
      <c r="A234" s="8" t="s">
        <v>20</v>
      </c>
      <c r="B234" s="8" t="s">
        <v>28</v>
      </c>
      <c r="C234" s="8" t="s">
        <v>16</v>
      </c>
      <c r="D234" s="11" t="s">
        <v>14</v>
      </c>
      <c r="E234" s="7" t="str">
        <f t="shared" si="12"/>
        <v>04080201</v>
      </c>
      <c r="F234" s="1" t="s">
        <v>278</v>
      </c>
      <c r="G234" s="1" t="str">
        <f t="shared" si="13"/>
        <v>抽屉08</v>
      </c>
      <c r="H234" t="str">
        <f t="shared" si="14"/>
        <v>行号02</v>
      </c>
      <c r="I234" s="1" t="str">
        <f t="shared" si="15"/>
        <v>序号01</v>
      </c>
      <c r="J234" s="22" t="s">
        <v>254</v>
      </c>
      <c r="K234" s="1"/>
      <c r="L234" s="1"/>
      <c r="M234" s="1"/>
      <c r="N234" s="1"/>
    </row>
    <row r="235" spans="1:14">
      <c r="A235" s="8" t="s">
        <v>20</v>
      </c>
      <c r="B235" s="8" t="s">
        <v>28</v>
      </c>
      <c r="C235" s="8" t="s">
        <v>16</v>
      </c>
      <c r="D235" s="11" t="s">
        <v>16</v>
      </c>
      <c r="E235" s="7" t="str">
        <f t="shared" si="12"/>
        <v>04080202</v>
      </c>
      <c r="F235" s="1" t="s">
        <v>278</v>
      </c>
      <c r="G235" s="1" t="str">
        <f t="shared" si="13"/>
        <v>抽屉08</v>
      </c>
      <c r="H235" t="str">
        <f t="shared" si="14"/>
        <v>行号02</v>
      </c>
      <c r="I235" s="1" t="str">
        <f t="shared" si="15"/>
        <v>序号02</v>
      </c>
      <c r="J235" s="22" t="s">
        <v>255</v>
      </c>
      <c r="K235" s="1"/>
      <c r="L235" s="1"/>
      <c r="M235" s="1"/>
      <c r="N235" s="1"/>
    </row>
    <row r="236" spans="1:14">
      <c r="A236" s="8" t="s">
        <v>20</v>
      </c>
      <c r="B236" s="8" t="s">
        <v>28</v>
      </c>
      <c r="C236" s="8" t="s">
        <v>16</v>
      </c>
      <c r="D236" s="11" t="s">
        <v>18</v>
      </c>
      <c r="E236" s="7" t="str">
        <f t="shared" si="12"/>
        <v>04080203</v>
      </c>
      <c r="F236" s="1" t="s">
        <v>278</v>
      </c>
      <c r="G236" s="1" t="str">
        <f t="shared" si="13"/>
        <v>抽屉08</v>
      </c>
      <c r="H236" t="str">
        <f t="shared" si="14"/>
        <v>行号02</v>
      </c>
      <c r="I236" s="1" t="str">
        <f t="shared" si="15"/>
        <v>序号03</v>
      </c>
      <c r="J236" s="22" t="s">
        <v>256</v>
      </c>
      <c r="K236" s="1"/>
      <c r="L236" s="1"/>
      <c r="M236" s="1"/>
      <c r="N236" s="1"/>
    </row>
    <row r="237" spans="1:14">
      <c r="A237" s="8" t="s">
        <v>20</v>
      </c>
      <c r="B237" s="8" t="s">
        <v>28</v>
      </c>
      <c r="C237" s="8" t="s">
        <v>16</v>
      </c>
      <c r="D237" s="11" t="s">
        <v>20</v>
      </c>
      <c r="E237" s="7" t="str">
        <f t="shared" si="12"/>
        <v>04080204</v>
      </c>
      <c r="F237" s="1" t="s">
        <v>278</v>
      </c>
      <c r="G237" s="1" t="str">
        <f t="shared" si="13"/>
        <v>抽屉08</v>
      </c>
      <c r="H237" t="str">
        <f t="shared" si="14"/>
        <v>行号02</v>
      </c>
      <c r="I237" s="1" t="str">
        <f t="shared" si="15"/>
        <v>序号04</v>
      </c>
      <c r="J237" s="22" t="s">
        <v>257</v>
      </c>
      <c r="K237" s="1"/>
      <c r="L237" s="1"/>
      <c r="M237" s="1"/>
      <c r="N237" s="1"/>
    </row>
    <row r="238" spans="1:14">
      <c r="A238" s="8" t="s">
        <v>20</v>
      </c>
      <c r="B238" s="8" t="s">
        <v>28</v>
      </c>
      <c r="C238" s="8" t="s">
        <v>16</v>
      </c>
      <c r="D238" s="11" t="s">
        <v>22</v>
      </c>
      <c r="E238" s="7" t="str">
        <f t="shared" si="12"/>
        <v>04080205</v>
      </c>
      <c r="F238" s="1" t="s">
        <v>278</v>
      </c>
      <c r="G238" s="1" t="str">
        <f t="shared" si="13"/>
        <v>抽屉08</v>
      </c>
      <c r="H238" t="str">
        <f t="shared" si="14"/>
        <v>行号02</v>
      </c>
      <c r="I238" s="1" t="str">
        <f t="shared" si="15"/>
        <v>序号05</v>
      </c>
      <c r="J238" s="22" t="s">
        <v>258</v>
      </c>
      <c r="K238" s="1"/>
      <c r="L238" s="1"/>
      <c r="M238" s="1"/>
      <c r="N238" s="1"/>
    </row>
    <row r="239" spans="1:14">
      <c r="A239" s="8" t="s">
        <v>20</v>
      </c>
      <c r="B239" s="8" t="s">
        <v>28</v>
      </c>
      <c r="C239" s="8" t="s">
        <v>16</v>
      </c>
      <c r="D239" s="11" t="s">
        <v>24</v>
      </c>
      <c r="E239" s="7" t="str">
        <f t="shared" si="12"/>
        <v>04080206</v>
      </c>
      <c r="F239" s="1" t="s">
        <v>278</v>
      </c>
      <c r="G239" s="1" t="str">
        <f t="shared" si="13"/>
        <v>抽屉08</v>
      </c>
      <c r="H239" t="str">
        <f t="shared" si="14"/>
        <v>行号02</v>
      </c>
      <c r="I239" s="1" t="str">
        <f t="shared" si="15"/>
        <v>序号06</v>
      </c>
      <c r="J239" s="22" t="s">
        <v>259</v>
      </c>
      <c r="K239" s="1"/>
      <c r="L239" s="1"/>
      <c r="M239" s="1"/>
      <c r="N239" s="1"/>
    </row>
    <row r="240" spans="1:14">
      <c r="A240" s="8" t="s">
        <v>20</v>
      </c>
      <c r="B240" s="8" t="s">
        <v>28</v>
      </c>
      <c r="C240" s="8" t="s">
        <v>16</v>
      </c>
      <c r="D240" s="11" t="s">
        <v>26</v>
      </c>
      <c r="E240" s="7" t="str">
        <f t="shared" si="12"/>
        <v>04080207</v>
      </c>
      <c r="F240" s="1" t="s">
        <v>278</v>
      </c>
      <c r="G240" s="1" t="str">
        <f t="shared" si="13"/>
        <v>抽屉08</v>
      </c>
      <c r="H240" t="str">
        <f t="shared" si="14"/>
        <v>行号02</v>
      </c>
      <c r="I240" s="1" t="str">
        <f t="shared" si="15"/>
        <v>序号07</v>
      </c>
      <c r="J240" s="22" t="s">
        <v>260</v>
      </c>
      <c r="K240" s="1"/>
      <c r="L240" s="1"/>
      <c r="M240" s="1"/>
      <c r="N240" s="1"/>
    </row>
    <row r="241" spans="1:14">
      <c r="A241" s="8" t="s">
        <v>20</v>
      </c>
      <c r="B241" s="8" t="s">
        <v>28</v>
      </c>
      <c r="C241" s="8" t="s">
        <v>16</v>
      </c>
      <c r="D241" s="11" t="s">
        <v>28</v>
      </c>
      <c r="E241" s="7" t="str">
        <f t="shared" si="12"/>
        <v>04080208</v>
      </c>
      <c r="F241" s="1" t="s">
        <v>278</v>
      </c>
      <c r="G241" s="1" t="str">
        <f t="shared" si="13"/>
        <v>抽屉08</v>
      </c>
      <c r="H241" t="str">
        <f t="shared" si="14"/>
        <v>行号02</v>
      </c>
      <c r="I241" s="1" t="str">
        <f t="shared" si="15"/>
        <v>序号08</v>
      </c>
      <c r="J241" s="22" t="s">
        <v>261</v>
      </c>
      <c r="K241" s="1"/>
      <c r="L241" s="1"/>
      <c r="M241" s="1"/>
      <c r="N241" s="1"/>
    </row>
    <row r="242" spans="1:14">
      <c r="A242" s="8" t="s">
        <v>20</v>
      </c>
      <c r="B242" s="8" t="s">
        <v>28</v>
      </c>
      <c r="C242" s="10" t="s">
        <v>18</v>
      </c>
      <c r="D242" s="8" t="s">
        <v>14</v>
      </c>
      <c r="E242" s="7" t="str">
        <f t="shared" si="12"/>
        <v>04080301</v>
      </c>
      <c r="F242" s="1" t="s">
        <v>278</v>
      </c>
      <c r="G242" s="1" t="str">
        <f t="shared" si="13"/>
        <v>抽屉08</v>
      </c>
      <c r="H242" t="str">
        <f t="shared" si="14"/>
        <v>行号03</v>
      </c>
      <c r="I242" s="1" t="str">
        <f t="shared" si="15"/>
        <v>序号01</v>
      </c>
      <c r="J242" s="22" t="s">
        <v>262</v>
      </c>
      <c r="K242" s="1"/>
      <c r="L242" s="1"/>
      <c r="M242" s="1"/>
      <c r="N242" s="1"/>
    </row>
    <row r="243" spans="1:14">
      <c r="A243" s="8" t="s">
        <v>20</v>
      </c>
      <c r="B243" s="8" t="s">
        <v>28</v>
      </c>
      <c r="C243" s="10" t="s">
        <v>18</v>
      </c>
      <c r="D243" s="8" t="s">
        <v>16</v>
      </c>
      <c r="E243" s="7" t="str">
        <f t="shared" si="12"/>
        <v>04080302</v>
      </c>
      <c r="F243" s="1" t="s">
        <v>278</v>
      </c>
      <c r="G243" s="1" t="str">
        <f t="shared" si="13"/>
        <v>抽屉08</v>
      </c>
      <c r="H243" t="str">
        <f t="shared" si="14"/>
        <v>行号03</v>
      </c>
      <c r="I243" s="1" t="str">
        <f t="shared" si="15"/>
        <v>序号02</v>
      </c>
      <c r="J243" s="22" t="s">
        <v>263</v>
      </c>
      <c r="K243" s="1"/>
      <c r="L243" s="1"/>
      <c r="M243" s="1"/>
      <c r="N243" s="1"/>
    </row>
    <row r="244" spans="1:14">
      <c r="A244" s="8" t="s">
        <v>20</v>
      </c>
      <c r="B244" s="8" t="s">
        <v>28</v>
      </c>
      <c r="C244" s="10" t="s">
        <v>18</v>
      </c>
      <c r="D244" s="8" t="s">
        <v>18</v>
      </c>
      <c r="E244" s="7" t="str">
        <f t="shared" si="12"/>
        <v>04080303</v>
      </c>
      <c r="F244" s="1" t="s">
        <v>278</v>
      </c>
      <c r="G244" s="1" t="str">
        <f t="shared" si="13"/>
        <v>抽屉08</v>
      </c>
      <c r="H244" t="str">
        <f t="shared" si="14"/>
        <v>行号03</v>
      </c>
      <c r="I244" s="1" t="str">
        <f t="shared" si="15"/>
        <v>序号03</v>
      </c>
      <c r="J244" s="22" t="s">
        <v>264</v>
      </c>
      <c r="K244" s="1"/>
      <c r="L244" s="1"/>
      <c r="M244" s="1"/>
      <c r="N244" s="1"/>
    </row>
    <row r="245" spans="1:14">
      <c r="A245" s="8" t="s">
        <v>20</v>
      </c>
      <c r="B245" s="8" t="s">
        <v>28</v>
      </c>
      <c r="C245" s="10" t="s">
        <v>18</v>
      </c>
      <c r="D245" s="8" t="s">
        <v>20</v>
      </c>
      <c r="E245" s="7" t="str">
        <f t="shared" si="12"/>
        <v>04080304</v>
      </c>
      <c r="F245" s="1" t="s">
        <v>278</v>
      </c>
      <c r="G245" s="1" t="str">
        <f t="shared" si="13"/>
        <v>抽屉08</v>
      </c>
      <c r="H245" t="str">
        <f t="shared" si="14"/>
        <v>行号03</v>
      </c>
      <c r="I245" s="1" t="str">
        <f t="shared" si="15"/>
        <v>序号04</v>
      </c>
      <c r="J245" s="22" t="s">
        <v>265</v>
      </c>
      <c r="K245" s="1"/>
      <c r="L245" s="1"/>
      <c r="M245" s="1"/>
      <c r="N245" s="1"/>
    </row>
    <row r="246" spans="1:14">
      <c r="A246" s="8" t="s">
        <v>20</v>
      </c>
      <c r="B246" s="8" t="s">
        <v>28</v>
      </c>
      <c r="C246" s="10" t="s">
        <v>18</v>
      </c>
      <c r="D246" s="8" t="s">
        <v>22</v>
      </c>
      <c r="E246" s="7" t="str">
        <f t="shared" si="12"/>
        <v>04080305</v>
      </c>
      <c r="F246" s="1" t="s">
        <v>278</v>
      </c>
      <c r="G246" s="1" t="str">
        <f t="shared" si="13"/>
        <v>抽屉08</v>
      </c>
      <c r="H246" t="str">
        <f t="shared" si="14"/>
        <v>行号03</v>
      </c>
      <c r="I246" s="1" t="str">
        <f t="shared" si="15"/>
        <v>序号05</v>
      </c>
      <c r="J246" s="22" t="s">
        <v>266</v>
      </c>
      <c r="K246" s="1"/>
      <c r="L246" s="1"/>
      <c r="M246" s="1"/>
      <c r="N246" s="1"/>
    </row>
    <row r="247" spans="1:14">
      <c r="A247" s="8" t="s">
        <v>20</v>
      </c>
      <c r="B247" s="8" t="s">
        <v>28</v>
      </c>
      <c r="C247" s="10" t="s">
        <v>18</v>
      </c>
      <c r="D247" s="8" t="s">
        <v>24</v>
      </c>
      <c r="E247" s="7" t="str">
        <f t="shared" si="12"/>
        <v>04080306</v>
      </c>
      <c r="F247" s="1" t="s">
        <v>278</v>
      </c>
      <c r="G247" s="1" t="str">
        <f t="shared" si="13"/>
        <v>抽屉08</v>
      </c>
      <c r="H247" t="str">
        <f t="shared" si="14"/>
        <v>行号03</v>
      </c>
      <c r="I247" s="1" t="str">
        <f t="shared" si="15"/>
        <v>序号06</v>
      </c>
      <c r="J247" s="22" t="s">
        <v>267</v>
      </c>
      <c r="K247" s="1"/>
      <c r="L247" s="1"/>
      <c r="M247" s="1"/>
      <c r="N247" s="1"/>
    </row>
    <row r="248" spans="1:14">
      <c r="A248" s="8" t="s">
        <v>20</v>
      </c>
      <c r="B248" s="8" t="s">
        <v>28</v>
      </c>
      <c r="C248" s="10" t="s">
        <v>18</v>
      </c>
      <c r="D248" s="8" t="s">
        <v>26</v>
      </c>
      <c r="E248" s="7" t="str">
        <f t="shared" si="12"/>
        <v>04080307</v>
      </c>
      <c r="F248" s="1" t="s">
        <v>278</v>
      </c>
      <c r="G248" s="1" t="str">
        <f t="shared" si="13"/>
        <v>抽屉08</v>
      </c>
      <c r="H248" t="str">
        <f t="shared" si="14"/>
        <v>行号03</v>
      </c>
      <c r="I248" s="1" t="str">
        <f t="shared" si="15"/>
        <v>序号07</v>
      </c>
      <c r="J248" s="22" t="s">
        <v>268</v>
      </c>
      <c r="K248" s="1"/>
      <c r="L248" s="1"/>
      <c r="M248" s="1"/>
      <c r="N248" s="1"/>
    </row>
    <row r="249" spans="1:14">
      <c r="A249" s="8" t="s">
        <v>20</v>
      </c>
      <c r="B249" s="8" t="s">
        <v>28</v>
      </c>
      <c r="C249" s="10" t="s">
        <v>18</v>
      </c>
      <c r="D249" s="8" t="s">
        <v>28</v>
      </c>
      <c r="E249" s="7" t="str">
        <f t="shared" si="12"/>
        <v>04080308</v>
      </c>
      <c r="F249" s="1" t="s">
        <v>278</v>
      </c>
      <c r="G249" s="1" t="str">
        <f t="shared" si="13"/>
        <v>抽屉08</v>
      </c>
      <c r="H249" t="str">
        <f t="shared" si="14"/>
        <v>行号03</v>
      </c>
      <c r="I249" s="1" t="str">
        <f t="shared" si="15"/>
        <v>序号08</v>
      </c>
      <c r="J249" s="22" t="s">
        <v>269</v>
      </c>
      <c r="K249" s="1"/>
      <c r="L249" s="1"/>
      <c r="M249" s="1"/>
      <c r="N249" s="1"/>
    </row>
    <row r="250" spans="1:14">
      <c r="A250" s="8" t="s">
        <v>20</v>
      </c>
      <c r="B250" s="8" t="s">
        <v>28</v>
      </c>
      <c r="C250" s="8" t="s">
        <v>20</v>
      </c>
      <c r="D250" s="11" t="s">
        <v>14</v>
      </c>
      <c r="E250" s="7" t="str">
        <f t="shared" si="12"/>
        <v>04080401</v>
      </c>
      <c r="F250" s="1" t="s">
        <v>278</v>
      </c>
      <c r="G250" s="1" t="str">
        <f t="shared" si="13"/>
        <v>抽屉08</v>
      </c>
      <c r="H250" t="str">
        <f t="shared" si="14"/>
        <v>行号04</v>
      </c>
      <c r="I250" s="1" t="str">
        <f t="shared" si="15"/>
        <v>序号01</v>
      </c>
      <c r="J250" s="22" t="s">
        <v>270</v>
      </c>
      <c r="K250" s="1"/>
      <c r="L250" s="1"/>
      <c r="M250" s="1"/>
      <c r="N250" s="1"/>
    </row>
    <row r="251" spans="1:14">
      <c r="A251" s="8" t="s">
        <v>20</v>
      </c>
      <c r="B251" s="8" t="s">
        <v>28</v>
      </c>
      <c r="C251" s="8" t="s">
        <v>20</v>
      </c>
      <c r="D251" s="11" t="s">
        <v>16</v>
      </c>
      <c r="E251" s="7" t="str">
        <f t="shared" si="12"/>
        <v>04080402</v>
      </c>
      <c r="F251" s="1" t="s">
        <v>278</v>
      </c>
      <c r="G251" s="1" t="str">
        <f t="shared" si="13"/>
        <v>抽屉08</v>
      </c>
      <c r="H251" t="str">
        <f t="shared" si="14"/>
        <v>行号04</v>
      </c>
      <c r="I251" s="1" t="str">
        <f t="shared" si="15"/>
        <v>序号02</v>
      </c>
      <c r="J251" s="22" t="s">
        <v>271</v>
      </c>
      <c r="K251" s="1"/>
      <c r="L251" s="1"/>
      <c r="M251" s="1"/>
      <c r="N251" s="1"/>
    </row>
    <row r="252" spans="1:14">
      <c r="A252" s="8" t="s">
        <v>20</v>
      </c>
      <c r="B252" s="8" t="s">
        <v>28</v>
      </c>
      <c r="C252" s="8" t="s">
        <v>20</v>
      </c>
      <c r="D252" s="11" t="s">
        <v>18</v>
      </c>
      <c r="E252" s="7" t="str">
        <f t="shared" si="12"/>
        <v>04080403</v>
      </c>
      <c r="F252" s="1" t="s">
        <v>278</v>
      </c>
      <c r="G252" s="1" t="str">
        <f t="shared" si="13"/>
        <v>抽屉08</v>
      </c>
      <c r="H252" t="str">
        <f t="shared" si="14"/>
        <v>行号04</v>
      </c>
      <c r="I252" s="1" t="str">
        <f t="shared" si="15"/>
        <v>序号03</v>
      </c>
      <c r="J252" s="22" t="s">
        <v>272</v>
      </c>
      <c r="K252" s="1"/>
      <c r="L252" s="1"/>
      <c r="M252" s="1"/>
      <c r="N252" s="1"/>
    </row>
    <row r="253" spans="1:14">
      <c r="A253" s="8" t="s">
        <v>20</v>
      </c>
      <c r="B253" s="8" t="s">
        <v>28</v>
      </c>
      <c r="C253" s="8" t="s">
        <v>20</v>
      </c>
      <c r="D253" s="11" t="s">
        <v>20</v>
      </c>
      <c r="E253" s="7" t="str">
        <f t="shared" si="12"/>
        <v>04080404</v>
      </c>
      <c r="F253" s="1" t="s">
        <v>278</v>
      </c>
      <c r="G253" s="1" t="str">
        <f t="shared" si="13"/>
        <v>抽屉08</v>
      </c>
      <c r="H253" t="str">
        <f t="shared" si="14"/>
        <v>行号04</v>
      </c>
      <c r="I253" s="1" t="str">
        <f t="shared" si="15"/>
        <v>序号04</v>
      </c>
      <c r="J253" s="22" t="s">
        <v>273</v>
      </c>
      <c r="K253" s="1"/>
      <c r="L253" s="1"/>
      <c r="M253" s="1"/>
      <c r="N253" s="1"/>
    </row>
    <row r="254" spans="1:14">
      <c r="A254" s="8" t="s">
        <v>20</v>
      </c>
      <c r="B254" s="8" t="s">
        <v>28</v>
      </c>
      <c r="C254" s="8" t="s">
        <v>20</v>
      </c>
      <c r="D254" s="11" t="s">
        <v>22</v>
      </c>
      <c r="E254" s="7" t="str">
        <f t="shared" si="12"/>
        <v>04080405</v>
      </c>
      <c r="F254" s="1" t="s">
        <v>278</v>
      </c>
      <c r="G254" s="1" t="str">
        <f t="shared" si="13"/>
        <v>抽屉08</v>
      </c>
      <c r="H254" t="str">
        <f t="shared" si="14"/>
        <v>行号04</v>
      </c>
      <c r="I254" s="1" t="str">
        <f t="shared" si="15"/>
        <v>序号05</v>
      </c>
      <c r="J254" s="22" t="s">
        <v>274</v>
      </c>
      <c r="K254" s="1"/>
      <c r="L254" s="1"/>
      <c r="M254" s="1"/>
      <c r="N254" s="1"/>
    </row>
    <row r="255" spans="1:14">
      <c r="A255" s="8" t="s">
        <v>20</v>
      </c>
      <c r="B255" s="8" t="s">
        <v>28</v>
      </c>
      <c r="C255" s="8" t="s">
        <v>20</v>
      </c>
      <c r="D255" s="11" t="s">
        <v>24</v>
      </c>
      <c r="E255" s="7" t="str">
        <f t="shared" si="12"/>
        <v>04080406</v>
      </c>
      <c r="F255" s="1" t="s">
        <v>278</v>
      </c>
      <c r="G255" s="1" t="str">
        <f t="shared" si="13"/>
        <v>抽屉08</v>
      </c>
      <c r="H255" t="str">
        <f t="shared" si="14"/>
        <v>行号04</v>
      </c>
      <c r="I255" s="1" t="str">
        <f t="shared" si="15"/>
        <v>序号06</v>
      </c>
      <c r="J255" s="22" t="s">
        <v>275</v>
      </c>
      <c r="K255" s="1"/>
      <c r="L255" s="1"/>
      <c r="M255" s="1"/>
      <c r="N255" s="1"/>
    </row>
    <row r="256" spans="1:14">
      <c r="A256" s="8" t="s">
        <v>20</v>
      </c>
      <c r="B256" s="8" t="s">
        <v>28</v>
      </c>
      <c r="C256" s="8" t="s">
        <v>20</v>
      </c>
      <c r="D256" s="11" t="s">
        <v>26</v>
      </c>
      <c r="E256" s="7" t="str">
        <f t="shared" si="12"/>
        <v>04080407</v>
      </c>
      <c r="F256" s="1" t="s">
        <v>278</v>
      </c>
      <c r="G256" s="1" t="str">
        <f t="shared" si="13"/>
        <v>抽屉08</v>
      </c>
      <c r="H256" t="str">
        <f t="shared" si="14"/>
        <v>行号04</v>
      </c>
      <c r="I256" s="1" t="str">
        <f t="shared" si="15"/>
        <v>序号07</v>
      </c>
      <c r="J256" s="22" t="s">
        <v>276</v>
      </c>
      <c r="K256" s="1"/>
      <c r="L256" s="1"/>
      <c r="M256" s="1"/>
      <c r="N256" s="1"/>
    </row>
    <row r="257" spans="1:14">
      <c r="A257" s="8" t="s">
        <v>20</v>
      </c>
      <c r="B257" s="8" t="s">
        <v>28</v>
      </c>
      <c r="C257" s="8" t="s">
        <v>20</v>
      </c>
      <c r="D257" s="11" t="s">
        <v>28</v>
      </c>
      <c r="E257" s="7" t="str">
        <f t="shared" si="12"/>
        <v>04080408</v>
      </c>
      <c r="F257" s="1" t="s">
        <v>278</v>
      </c>
      <c r="G257" s="1" t="str">
        <f t="shared" si="13"/>
        <v>抽屉08</v>
      </c>
      <c r="H257" t="str">
        <f t="shared" si="14"/>
        <v>行号04</v>
      </c>
      <c r="I257" s="1" t="str">
        <f t="shared" si="15"/>
        <v>序号08</v>
      </c>
      <c r="J257" s="22" t="s">
        <v>277</v>
      </c>
      <c r="K257" s="1"/>
      <c r="L257" s="1"/>
      <c r="M257" s="1"/>
      <c r="N257" s="1"/>
    </row>
    <row r="258" spans="1:14">
      <c r="A258" s="8" t="s">
        <v>20</v>
      </c>
      <c r="B258" s="1">
        <v>13</v>
      </c>
      <c r="C258" s="10" t="s">
        <v>14</v>
      </c>
      <c r="D258" s="8" t="s">
        <v>14</v>
      </c>
      <c r="E258" s="7" t="str">
        <f t="shared" ref="E258:E289" si="16">A258&amp;B258&amp;C258&amp;D258</f>
        <v>04130101</v>
      </c>
      <c r="F258" s="1" t="s">
        <v>278</v>
      </c>
      <c r="G258" s="1" t="str">
        <f t="shared" ref="G258:G289" si="17">"抽屉"&amp;B258</f>
        <v>抽屉13</v>
      </c>
      <c r="H258" t="str">
        <f t="shared" ref="H258:H289" si="18">"行号"&amp;C258</f>
        <v>行号01</v>
      </c>
      <c r="I258" s="1" t="str">
        <f t="shared" ref="I258:I289" si="19">"序号"&amp;D258</f>
        <v>序号01</v>
      </c>
      <c r="J258" s="22" t="s">
        <v>246</v>
      </c>
      <c r="K258" s="1"/>
      <c r="L258" s="1"/>
      <c r="M258" s="1"/>
      <c r="N258" s="1"/>
    </row>
    <row r="259" spans="1:14">
      <c r="A259" s="8" t="s">
        <v>20</v>
      </c>
      <c r="B259" s="1">
        <v>13</v>
      </c>
      <c r="C259" s="10" t="s">
        <v>14</v>
      </c>
      <c r="D259" s="8" t="s">
        <v>16</v>
      </c>
      <c r="E259" s="7" t="str">
        <f t="shared" si="16"/>
        <v>04130102</v>
      </c>
      <c r="F259" s="1" t="s">
        <v>278</v>
      </c>
      <c r="G259" s="1" t="str">
        <f t="shared" si="17"/>
        <v>抽屉13</v>
      </c>
      <c r="H259" t="str">
        <f t="shared" si="18"/>
        <v>行号01</v>
      </c>
      <c r="I259" s="1" t="str">
        <f t="shared" si="19"/>
        <v>序号02</v>
      </c>
      <c r="J259" s="22" t="s">
        <v>247</v>
      </c>
      <c r="K259" s="1"/>
      <c r="L259" s="1"/>
      <c r="M259" s="1"/>
      <c r="N259" s="1"/>
    </row>
    <row r="260" spans="1:14">
      <c r="A260" s="8" t="s">
        <v>20</v>
      </c>
      <c r="B260" s="1">
        <v>13</v>
      </c>
      <c r="C260" s="10" t="s">
        <v>14</v>
      </c>
      <c r="D260" s="8" t="s">
        <v>18</v>
      </c>
      <c r="E260" s="7" t="str">
        <f t="shared" si="16"/>
        <v>04130103</v>
      </c>
      <c r="F260" s="1" t="s">
        <v>278</v>
      </c>
      <c r="G260" s="1" t="str">
        <f t="shared" si="17"/>
        <v>抽屉13</v>
      </c>
      <c r="H260" t="str">
        <f t="shared" si="18"/>
        <v>行号01</v>
      </c>
      <c r="I260" s="1" t="str">
        <f t="shared" si="19"/>
        <v>序号03</v>
      </c>
      <c r="J260" s="22" t="s">
        <v>248</v>
      </c>
      <c r="K260" s="1"/>
      <c r="L260" s="1"/>
      <c r="M260" s="1"/>
      <c r="N260" s="1"/>
    </row>
    <row r="261" spans="1:14">
      <c r="A261" s="8" t="s">
        <v>20</v>
      </c>
      <c r="B261" s="1">
        <v>13</v>
      </c>
      <c r="C261" s="10" t="s">
        <v>14</v>
      </c>
      <c r="D261" s="8" t="s">
        <v>20</v>
      </c>
      <c r="E261" s="7" t="str">
        <f t="shared" si="16"/>
        <v>04130104</v>
      </c>
      <c r="F261" s="1" t="s">
        <v>278</v>
      </c>
      <c r="G261" s="1" t="str">
        <f t="shared" si="17"/>
        <v>抽屉13</v>
      </c>
      <c r="H261" t="str">
        <f t="shared" si="18"/>
        <v>行号01</v>
      </c>
      <c r="I261" s="1" t="str">
        <f t="shared" si="19"/>
        <v>序号04</v>
      </c>
      <c r="J261" s="22" t="s">
        <v>249</v>
      </c>
      <c r="K261" s="1"/>
      <c r="L261" s="1"/>
      <c r="M261" s="1"/>
      <c r="N261" s="1"/>
    </row>
    <row r="262" spans="1:14">
      <c r="A262" s="8" t="s">
        <v>20</v>
      </c>
      <c r="B262" s="1">
        <v>13</v>
      </c>
      <c r="C262" s="10" t="s">
        <v>14</v>
      </c>
      <c r="D262" s="8" t="s">
        <v>22</v>
      </c>
      <c r="E262" s="7" t="str">
        <f t="shared" si="16"/>
        <v>04130105</v>
      </c>
      <c r="F262" s="1" t="s">
        <v>278</v>
      </c>
      <c r="G262" s="1" t="str">
        <f t="shared" si="17"/>
        <v>抽屉13</v>
      </c>
      <c r="H262" t="str">
        <f t="shared" si="18"/>
        <v>行号01</v>
      </c>
      <c r="I262" s="1" t="str">
        <f t="shared" si="19"/>
        <v>序号05</v>
      </c>
      <c r="J262" s="22" t="s">
        <v>250</v>
      </c>
      <c r="K262" s="1"/>
      <c r="L262" s="1"/>
      <c r="M262" s="1"/>
      <c r="N262" s="1"/>
    </row>
    <row r="263" spans="1:14">
      <c r="A263" s="8" t="s">
        <v>20</v>
      </c>
      <c r="B263" s="1">
        <v>13</v>
      </c>
      <c r="C263" s="10" t="s">
        <v>14</v>
      </c>
      <c r="D263" s="8" t="s">
        <v>24</v>
      </c>
      <c r="E263" s="7" t="str">
        <f t="shared" si="16"/>
        <v>04130106</v>
      </c>
      <c r="F263" s="1" t="s">
        <v>278</v>
      </c>
      <c r="G263" s="1" t="str">
        <f t="shared" si="17"/>
        <v>抽屉13</v>
      </c>
      <c r="H263" t="str">
        <f t="shared" si="18"/>
        <v>行号01</v>
      </c>
      <c r="I263" s="1" t="str">
        <f t="shared" si="19"/>
        <v>序号06</v>
      </c>
      <c r="J263" s="22" t="s">
        <v>251</v>
      </c>
      <c r="K263" s="1"/>
      <c r="L263" s="1"/>
      <c r="M263" s="1"/>
      <c r="N263" s="1"/>
    </row>
    <row r="264" spans="1:14">
      <c r="A264" s="8" t="s">
        <v>20</v>
      </c>
      <c r="B264" s="1">
        <v>13</v>
      </c>
      <c r="C264" s="10" t="s">
        <v>14</v>
      </c>
      <c r="D264" s="8" t="s">
        <v>26</v>
      </c>
      <c r="E264" s="7" t="str">
        <f t="shared" si="16"/>
        <v>04130107</v>
      </c>
      <c r="F264" s="1" t="s">
        <v>278</v>
      </c>
      <c r="G264" s="1" t="str">
        <f t="shared" si="17"/>
        <v>抽屉13</v>
      </c>
      <c r="H264" t="str">
        <f t="shared" si="18"/>
        <v>行号01</v>
      </c>
      <c r="I264" s="1" t="str">
        <f t="shared" si="19"/>
        <v>序号07</v>
      </c>
      <c r="J264" s="22" t="s">
        <v>252</v>
      </c>
      <c r="K264" s="1"/>
      <c r="L264" s="1"/>
      <c r="M264" s="1"/>
      <c r="N264" s="1"/>
    </row>
    <row r="265" spans="1:14">
      <c r="A265" s="8" t="s">
        <v>20</v>
      </c>
      <c r="B265" s="1">
        <v>13</v>
      </c>
      <c r="C265" s="10" t="s">
        <v>14</v>
      </c>
      <c r="D265" s="8" t="s">
        <v>28</v>
      </c>
      <c r="E265" s="7" t="str">
        <f t="shared" si="16"/>
        <v>04130108</v>
      </c>
      <c r="F265" s="1" t="s">
        <v>278</v>
      </c>
      <c r="G265" s="1" t="str">
        <f t="shared" si="17"/>
        <v>抽屉13</v>
      </c>
      <c r="H265" t="str">
        <f t="shared" si="18"/>
        <v>行号01</v>
      </c>
      <c r="I265" s="1" t="str">
        <f t="shared" si="19"/>
        <v>序号08</v>
      </c>
      <c r="J265" s="22" t="s">
        <v>253</v>
      </c>
      <c r="K265" s="1"/>
      <c r="L265" s="1"/>
      <c r="M265" s="1"/>
      <c r="N265" s="1"/>
    </row>
    <row r="266" spans="1:14">
      <c r="A266" s="8" t="s">
        <v>20</v>
      </c>
      <c r="B266" s="1">
        <v>13</v>
      </c>
      <c r="C266" s="8" t="s">
        <v>16</v>
      </c>
      <c r="D266" s="11" t="s">
        <v>14</v>
      </c>
      <c r="E266" s="7" t="str">
        <f t="shared" si="16"/>
        <v>04130201</v>
      </c>
      <c r="F266" s="1" t="s">
        <v>278</v>
      </c>
      <c r="G266" s="1" t="str">
        <f t="shared" si="17"/>
        <v>抽屉13</v>
      </c>
      <c r="H266" t="str">
        <f t="shared" si="18"/>
        <v>行号02</v>
      </c>
      <c r="I266" s="1" t="str">
        <f t="shared" si="19"/>
        <v>序号01</v>
      </c>
      <c r="J266" s="22" t="s">
        <v>254</v>
      </c>
      <c r="K266" s="1"/>
      <c r="L266" s="1"/>
      <c r="M266" s="1"/>
      <c r="N266" s="1"/>
    </row>
    <row r="267" spans="1:14">
      <c r="A267" s="8" t="s">
        <v>20</v>
      </c>
      <c r="B267" s="1">
        <v>13</v>
      </c>
      <c r="C267" s="8" t="s">
        <v>16</v>
      </c>
      <c r="D267" s="11" t="s">
        <v>16</v>
      </c>
      <c r="E267" s="7" t="str">
        <f t="shared" si="16"/>
        <v>04130202</v>
      </c>
      <c r="F267" s="1" t="s">
        <v>278</v>
      </c>
      <c r="G267" s="1" t="str">
        <f t="shared" si="17"/>
        <v>抽屉13</v>
      </c>
      <c r="H267" t="str">
        <f t="shared" si="18"/>
        <v>行号02</v>
      </c>
      <c r="I267" s="1" t="str">
        <f t="shared" si="19"/>
        <v>序号02</v>
      </c>
      <c r="J267" s="22" t="s">
        <v>255</v>
      </c>
      <c r="K267" s="1"/>
      <c r="L267" s="1"/>
      <c r="M267" s="1"/>
      <c r="N267" s="1"/>
    </row>
    <row r="268" spans="1:14">
      <c r="A268" s="8" t="s">
        <v>20</v>
      </c>
      <c r="B268" s="1">
        <v>13</v>
      </c>
      <c r="C268" s="8" t="s">
        <v>16</v>
      </c>
      <c r="D268" s="11" t="s">
        <v>18</v>
      </c>
      <c r="E268" s="7" t="str">
        <f t="shared" si="16"/>
        <v>04130203</v>
      </c>
      <c r="F268" s="1" t="s">
        <v>278</v>
      </c>
      <c r="G268" s="1" t="str">
        <f t="shared" si="17"/>
        <v>抽屉13</v>
      </c>
      <c r="H268" t="str">
        <f t="shared" si="18"/>
        <v>行号02</v>
      </c>
      <c r="I268" s="1" t="str">
        <f t="shared" si="19"/>
        <v>序号03</v>
      </c>
      <c r="J268" s="22" t="s">
        <v>256</v>
      </c>
      <c r="K268" s="1"/>
      <c r="L268" s="1"/>
      <c r="M268" s="1"/>
      <c r="N268" s="1"/>
    </row>
    <row r="269" spans="1:14">
      <c r="A269" s="8" t="s">
        <v>20</v>
      </c>
      <c r="B269" s="1">
        <v>13</v>
      </c>
      <c r="C269" s="8" t="s">
        <v>16</v>
      </c>
      <c r="D269" s="11" t="s">
        <v>20</v>
      </c>
      <c r="E269" s="7" t="str">
        <f t="shared" si="16"/>
        <v>04130204</v>
      </c>
      <c r="F269" s="1" t="s">
        <v>278</v>
      </c>
      <c r="G269" s="1" t="str">
        <f t="shared" si="17"/>
        <v>抽屉13</v>
      </c>
      <c r="H269" t="str">
        <f t="shared" si="18"/>
        <v>行号02</v>
      </c>
      <c r="I269" s="1" t="str">
        <f t="shared" si="19"/>
        <v>序号04</v>
      </c>
      <c r="J269" s="22" t="s">
        <v>257</v>
      </c>
      <c r="K269" s="1"/>
      <c r="L269" s="1"/>
      <c r="M269" s="1"/>
      <c r="N269" s="1"/>
    </row>
    <row r="270" spans="1:14">
      <c r="A270" s="8" t="s">
        <v>20</v>
      </c>
      <c r="B270" s="1">
        <v>13</v>
      </c>
      <c r="C270" s="8" t="s">
        <v>16</v>
      </c>
      <c r="D270" s="11" t="s">
        <v>22</v>
      </c>
      <c r="E270" s="7" t="str">
        <f t="shared" si="16"/>
        <v>04130205</v>
      </c>
      <c r="F270" s="1" t="s">
        <v>278</v>
      </c>
      <c r="G270" s="1" t="str">
        <f t="shared" si="17"/>
        <v>抽屉13</v>
      </c>
      <c r="H270" t="str">
        <f t="shared" si="18"/>
        <v>行号02</v>
      </c>
      <c r="I270" s="1" t="str">
        <f t="shared" si="19"/>
        <v>序号05</v>
      </c>
      <c r="J270" s="22" t="s">
        <v>258</v>
      </c>
      <c r="K270" s="1"/>
      <c r="L270" s="1"/>
      <c r="M270" s="1"/>
      <c r="N270" s="1"/>
    </row>
    <row r="271" spans="1:14">
      <c r="A271" s="8" t="s">
        <v>20</v>
      </c>
      <c r="B271" s="1">
        <v>13</v>
      </c>
      <c r="C271" s="8" t="s">
        <v>16</v>
      </c>
      <c r="D271" s="11" t="s">
        <v>24</v>
      </c>
      <c r="E271" s="7" t="str">
        <f t="shared" si="16"/>
        <v>04130206</v>
      </c>
      <c r="F271" s="1" t="s">
        <v>278</v>
      </c>
      <c r="G271" s="1" t="str">
        <f t="shared" si="17"/>
        <v>抽屉13</v>
      </c>
      <c r="H271" t="str">
        <f t="shared" si="18"/>
        <v>行号02</v>
      </c>
      <c r="I271" s="1" t="str">
        <f t="shared" si="19"/>
        <v>序号06</v>
      </c>
      <c r="J271" s="22" t="s">
        <v>259</v>
      </c>
      <c r="K271" s="1"/>
      <c r="L271" s="1"/>
      <c r="M271" s="1"/>
      <c r="N271" s="1"/>
    </row>
    <row r="272" spans="1:14">
      <c r="A272" s="8" t="s">
        <v>20</v>
      </c>
      <c r="B272" s="1">
        <v>13</v>
      </c>
      <c r="C272" s="8" t="s">
        <v>16</v>
      </c>
      <c r="D272" s="11" t="s">
        <v>26</v>
      </c>
      <c r="E272" s="7" t="str">
        <f t="shared" si="16"/>
        <v>04130207</v>
      </c>
      <c r="F272" s="1" t="s">
        <v>278</v>
      </c>
      <c r="G272" s="1" t="str">
        <f t="shared" si="17"/>
        <v>抽屉13</v>
      </c>
      <c r="H272" t="str">
        <f t="shared" si="18"/>
        <v>行号02</v>
      </c>
      <c r="I272" s="1" t="str">
        <f t="shared" si="19"/>
        <v>序号07</v>
      </c>
      <c r="J272" s="22" t="s">
        <v>260</v>
      </c>
      <c r="K272" s="1"/>
      <c r="L272" s="1"/>
      <c r="M272" s="1"/>
      <c r="N272" s="1"/>
    </row>
    <row r="273" spans="1:14">
      <c r="A273" s="8" t="s">
        <v>20</v>
      </c>
      <c r="B273" s="1">
        <v>13</v>
      </c>
      <c r="C273" s="8" t="s">
        <v>16</v>
      </c>
      <c r="D273" s="11" t="s">
        <v>28</v>
      </c>
      <c r="E273" s="7" t="str">
        <f t="shared" si="16"/>
        <v>04130208</v>
      </c>
      <c r="F273" s="1" t="s">
        <v>278</v>
      </c>
      <c r="G273" s="1" t="str">
        <f t="shared" si="17"/>
        <v>抽屉13</v>
      </c>
      <c r="H273" t="str">
        <f t="shared" si="18"/>
        <v>行号02</v>
      </c>
      <c r="I273" s="1" t="str">
        <f t="shared" si="19"/>
        <v>序号08</v>
      </c>
      <c r="J273" s="22" t="s">
        <v>261</v>
      </c>
      <c r="K273" s="1"/>
      <c r="L273" s="1"/>
      <c r="M273" s="1"/>
      <c r="N273" s="1"/>
    </row>
    <row r="274" spans="1:14">
      <c r="A274" s="8" t="s">
        <v>20</v>
      </c>
      <c r="B274" s="1">
        <v>13</v>
      </c>
      <c r="C274" s="10" t="s">
        <v>18</v>
      </c>
      <c r="D274" s="8" t="s">
        <v>14</v>
      </c>
      <c r="E274" s="7" t="str">
        <f t="shared" si="16"/>
        <v>04130301</v>
      </c>
      <c r="F274" s="1" t="s">
        <v>278</v>
      </c>
      <c r="G274" s="1" t="str">
        <f t="shared" si="17"/>
        <v>抽屉13</v>
      </c>
      <c r="H274" t="str">
        <f t="shared" si="18"/>
        <v>行号03</v>
      </c>
      <c r="I274" s="1" t="str">
        <f t="shared" si="19"/>
        <v>序号01</v>
      </c>
      <c r="J274" s="22" t="s">
        <v>262</v>
      </c>
      <c r="K274" s="1"/>
      <c r="L274" s="1"/>
      <c r="M274" s="1"/>
      <c r="N274" s="1"/>
    </row>
    <row r="275" spans="1:14">
      <c r="A275" s="8" t="s">
        <v>20</v>
      </c>
      <c r="B275" s="1">
        <v>13</v>
      </c>
      <c r="C275" s="10" t="s">
        <v>18</v>
      </c>
      <c r="D275" s="8" t="s">
        <v>16</v>
      </c>
      <c r="E275" s="7" t="str">
        <f t="shared" si="16"/>
        <v>04130302</v>
      </c>
      <c r="F275" s="1" t="s">
        <v>278</v>
      </c>
      <c r="G275" s="1" t="str">
        <f t="shared" si="17"/>
        <v>抽屉13</v>
      </c>
      <c r="H275" t="str">
        <f t="shared" si="18"/>
        <v>行号03</v>
      </c>
      <c r="I275" s="1" t="str">
        <f t="shared" si="19"/>
        <v>序号02</v>
      </c>
      <c r="J275" s="22" t="s">
        <v>263</v>
      </c>
      <c r="K275" s="1"/>
      <c r="L275" s="1"/>
      <c r="M275" s="1"/>
      <c r="N275" s="1"/>
    </row>
    <row r="276" spans="1:14">
      <c r="A276" s="8" t="s">
        <v>20</v>
      </c>
      <c r="B276" s="1">
        <v>13</v>
      </c>
      <c r="C276" s="10" t="s">
        <v>18</v>
      </c>
      <c r="D276" s="8" t="s">
        <v>18</v>
      </c>
      <c r="E276" s="7" t="str">
        <f t="shared" si="16"/>
        <v>04130303</v>
      </c>
      <c r="F276" s="1" t="s">
        <v>278</v>
      </c>
      <c r="G276" s="1" t="str">
        <f t="shared" si="17"/>
        <v>抽屉13</v>
      </c>
      <c r="H276" t="str">
        <f t="shared" si="18"/>
        <v>行号03</v>
      </c>
      <c r="I276" s="1" t="str">
        <f t="shared" si="19"/>
        <v>序号03</v>
      </c>
      <c r="J276" s="22" t="s">
        <v>264</v>
      </c>
      <c r="K276" s="1"/>
      <c r="L276" s="1"/>
      <c r="M276" s="1"/>
      <c r="N276" s="1"/>
    </row>
    <row r="277" spans="1:14">
      <c r="A277" s="8" t="s">
        <v>20</v>
      </c>
      <c r="B277" s="1">
        <v>13</v>
      </c>
      <c r="C277" s="10" t="s">
        <v>18</v>
      </c>
      <c r="D277" s="8" t="s">
        <v>20</v>
      </c>
      <c r="E277" s="7" t="str">
        <f t="shared" si="16"/>
        <v>04130304</v>
      </c>
      <c r="F277" s="1" t="s">
        <v>278</v>
      </c>
      <c r="G277" s="1" t="str">
        <f t="shared" si="17"/>
        <v>抽屉13</v>
      </c>
      <c r="H277" t="str">
        <f t="shared" si="18"/>
        <v>行号03</v>
      </c>
      <c r="I277" s="1" t="str">
        <f t="shared" si="19"/>
        <v>序号04</v>
      </c>
      <c r="J277" s="22" t="s">
        <v>265</v>
      </c>
      <c r="K277" s="1"/>
      <c r="L277" s="1"/>
      <c r="M277" s="1"/>
      <c r="N277" s="1"/>
    </row>
    <row r="278" spans="1:14">
      <c r="A278" s="8" t="s">
        <v>20</v>
      </c>
      <c r="B278" s="1">
        <v>13</v>
      </c>
      <c r="C278" s="10" t="s">
        <v>18</v>
      </c>
      <c r="D278" s="8" t="s">
        <v>22</v>
      </c>
      <c r="E278" s="7" t="str">
        <f t="shared" si="16"/>
        <v>04130305</v>
      </c>
      <c r="F278" s="1" t="s">
        <v>278</v>
      </c>
      <c r="G278" s="1" t="str">
        <f t="shared" si="17"/>
        <v>抽屉13</v>
      </c>
      <c r="H278" t="str">
        <f t="shared" si="18"/>
        <v>行号03</v>
      </c>
      <c r="I278" s="1" t="str">
        <f t="shared" si="19"/>
        <v>序号05</v>
      </c>
      <c r="J278" s="22" t="s">
        <v>266</v>
      </c>
      <c r="K278" s="1"/>
      <c r="L278" s="1"/>
      <c r="M278" s="1"/>
      <c r="N278" s="1"/>
    </row>
    <row r="279" spans="1:14">
      <c r="A279" s="8" t="s">
        <v>20</v>
      </c>
      <c r="B279" s="1">
        <v>13</v>
      </c>
      <c r="C279" s="10" t="s">
        <v>18</v>
      </c>
      <c r="D279" s="8" t="s">
        <v>24</v>
      </c>
      <c r="E279" s="7" t="str">
        <f t="shared" si="16"/>
        <v>04130306</v>
      </c>
      <c r="F279" s="1" t="s">
        <v>278</v>
      </c>
      <c r="G279" s="1" t="str">
        <f t="shared" si="17"/>
        <v>抽屉13</v>
      </c>
      <c r="H279" t="str">
        <f t="shared" si="18"/>
        <v>行号03</v>
      </c>
      <c r="I279" s="1" t="str">
        <f t="shared" si="19"/>
        <v>序号06</v>
      </c>
      <c r="J279" s="22" t="s">
        <v>267</v>
      </c>
      <c r="K279" s="1"/>
      <c r="L279" s="1"/>
      <c r="M279" s="1"/>
      <c r="N279" s="1"/>
    </row>
    <row r="280" spans="1:14">
      <c r="A280" s="8" t="s">
        <v>20</v>
      </c>
      <c r="B280" s="1">
        <v>13</v>
      </c>
      <c r="C280" s="10" t="s">
        <v>18</v>
      </c>
      <c r="D280" s="8" t="s">
        <v>26</v>
      </c>
      <c r="E280" s="7" t="str">
        <f t="shared" si="16"/>
        <v>04130307</v>
      </c>
      <c r="F280" s="1" t="s">
        <v>278</v>
      </c>
      <c r="G280" s="1" t="str">
        <f t="shared" si="17"/>
        <v>抽屉13</v>
      </c>
      <c r="H280" t="str">
        <f t="shared" si="18"/>
        <v>行号03</v>
      </c>
      <c r="I280" s="1" t="str">
        <f t="shared" si="19"/>
        <v>序号07</v>
      </c>
      <c r="J280" s="22" t="s">
        <v>268</v>
      </c>
      <c r="K280" s="1"/>
      <c r="L280" s="1"/>
      <c r="M280" s="1"/>
      <c r="N280" s="1"/>
    </row>
    <row r="281" spans="1:14">
      <c r="A281" s="8" t="s">
        <v>20</v>
      </c>
      <c r="B281" s="1">
        <v>13</v>
      </c>
      <c r="C281" s="10" t="s">
        <v>18</v>
      </c>
      <c r="D281" s="8" t="s">
        <v>28</v>
      </c>
      <c r="E281" s="7" t="str">
        <f t="shared" si="16"/>
        <v>04130308</v>
      </c>
      <c r="F281" s="1" t="s">
        <v>278</v>
      </c>
      <c r="G281" s="1" t="str">
        <f t="shared" si="17"/>
        <v>抽屉13</v>
      </c>
      <c r="H281" t="str">
        <f t="shared" si="18"/>
        <v>行号03</v>
      </c>
      <c r="I281" s="1" t="str">
        <f t="shared" si="19"/>
        <v>序号08</v>
      </c>
      <c r="J281" s="22" t="s">
        <v>269</v>
      </c>
      <c r="K281" s="1"/>
      <c r="L281" s="1"/>
      <c r="M281" s="1"/>
      <c r="N281" s="1"/>
    </row>
    <row r="282" spans="1:14">
      <c r="A282" s="8" t="s">
        <v>20</v>
      </c>
      <c r="B282" s="1">
        <v>13</v>
      </c>
      <c r="C282" s="8" t="s">
        <v>20</v>
      </c>
      <c r="D282" s="11" t="s">
        <v>14</v>
      </c>
      <c r="E282" s="7" t="str">
        <f t="shared" si="16"/>
        <v>04130401</v>
      </c>
      <c r="F282" s="1" t="s">
        <v>278</v>
      </c>
      <c r="G282" s="1" t="str">
        <f t="shared" si="17"/>
        <v>抽屉13</v>
      </c>
      <c r="H282" t="str">
        <f t="shared" si="18"/>
        <v>行号04</v>
      </c>
      <c r="I282" s="1" t="str">
        <f t="shared" si="19"/>
        <v>序号01</v>
      </c>
      <c r="J282" s="22" t="s">
        <v>270</v>
      </c>
      <c r="K282" s="1"/>
      <c r="L282" s="1"/>
      <c r="M282" s="1"/>
      <c r="N282" s="1"/>
    </row>
    <row r="283" spans="1:14">
      <c r="A283" s="8" t="s">
        <v>20</v>
      </c>
      <c r="B283" s="1">
        <v>13</v>
      </c>
      <c r="C283" s="8" t="s">
        <v>20</v>
      </c>
      <c r="D283" s="11" t="s">
        <v>16</v>
      </c>
      <c r="E283" s="7" t="str">
        <f t="shared" si="16"/>
        <v>04130402</v>
      </c>
      <c r="F283" s="1" t="s">
        <v>278</v>
      </c>
      <c r="G283" s="1" t="str">
        <f t="shared" si="17"/>
        <v>抽屉13</v>
      </c>
      <c r="H283" t="str">
        <f t="shared" si="18"/>
        <v>行号04</v>
      </c>
      <c r="I283" s="1" t="str">
        <f t="shared" si="19"/>
        <v>序号02</v>
      </c>
      <c r="J283" s="22" t="s">
        <v>271</v>
      </c>
      <c r="K283" s="1"/>
      <c r="L283" s="1"/>
      <c r="M283" s="1"/>
      <c r="N283" s="1"/>
    </row>
    <row r="284" spans="1:14">
      <c r="A284" s="8" t="s">
        <v>20</v>
      </c>
      <c r="B284" s="1">
        <v>13</v>
      </c>
      <c r="C284" s="8" t="s">
        <v>20</v>
      </c>
      <c r="D284" s="11" t="s">
        <v>18</v>
      </c>
      <c r="E284" s="7" t="str">
        <f t="shared" si="16"/>
        <v>04130403</v>
      </c>
      <c r="F284" s="1" t="s">
        <v>278</v>
      </c>
      <c r="G284" s="1" t="str">
        <f t="shared" si="17"/>
        <v>抽屉13</v>
      </c>
      <c r="H284" t="str">
        <f t="shared" si="18"/>
        <v>行号04</v>
      </c>
      <c r="I284" s="1" t="str">
        <f t="shared" si="19"/>
        <v>序号03</v>
      </c>
      <c r="J284" s="22" t="s">
        <v>272</v>
      </c>
      <c r="K284" s="1"/>
      <c r="L284" s="1"/>
      <c r="M284" s="1"/>
      <c r="N284" s="1"/>
    </row>
    <row r="285" spans="1:14">
      <c r="A285" s="8" t="s">
        <v>20</v>
      </c>
      <c r="B285" s="1">
        <v>13</v>
      </c>
      <c r="C285" s="8" t="s">
        <v>20</v>
      </c>
      <c r="D285" s="11" t="s">
        <v>20</v>
      </c>
      <c r="E285" s="7" t="str">
        <f t="shared" si="16"/>
        <v>04130404</v>
      </c>
      <c r="F285" s="1" t="s">
        <v>278</v>
      </c>
      <c r="G285" s="1" t="str">
        <f t="shared" si="17"/>
        <v>抽屉13</v>
      </c>
      <c r="H285" t="str">
        <f t="shared" si="18"/>
        <v>行号04</v>
      </c>
      <c r="I285" s="1" t="str">
        <f t="shared" si="19"/>
        <v>序号04</v>
      </c>
      <c r="J285" s="22" t="s">
        <v>273</v>
      </c>
      <c r="K285" s="1"/>
      <c r="L285" s="1"/>
      <c r="M285" s="1"/>
      <c r="N285" s="1"/>
    </row>
    <row r="286" spans="1:14">
      <c r="A286" s="8" t="s">
        <v>20</v>
      </c>
      <c r="B286" s="1">
        <v>13</v>
      </c>
      <c r="C286" s="8" t="s">
        <v>20</v>
      </c>
      <c r="D286" s="11" t="s">
        <v>22</v>
      </c>
      <c r="E286" s="7" t="str">
        <f t="shared" si="16"/>
        <v>04130405</v>
      </c>
      <c r="F286" s="1" t="s">
        <v>278</v>
      </c>
      <c r="G286" s="1" t="str">
        <f t="shared" si="17"/>
        <v>抽屉13</v>
      </c>
      <c r="H286" t="str">
        <f t="shared" si="18"/>
        <v>行号04</v>
      </c>
      <c r="I286" s="1" t="str">
        <f t="shared" si="19"/>
        <v>序号05</v>
      </c>
      <c r="J286" s="22" t="s">
        <v>274</v>
      </c>
      <c r="K286" s="1"/>
      <c r="L286" s="1"/>
      <c r="M286" s="1"/>
      <c r="N286" s="1"/>
    </row>
    <row r="287" spans="1:14">
      <c r="A287" s="8" t="s">
        <v>20</v>
      </c>
      <c r="B287" s="1">
        <v>13</v>
      </c>
      <c r="C287" s="8" t="s">
        <v>20</v>
      </c>
      <c r="D287" s="11" t="s">
        <v>24</v>
      </c>
      <c r="E287" s="7" t="str">
        <f t="shared" si="16"/>
        <v>04130406</v>
      </c>
      <c r="F287" s="1" t="s">
        <v>278</v>
      </c>
      <c r="G287" s="1" t="str">
        <f t="shared" si="17"/>
        <v>抽屉13</v>
      </c>
      <c r="H287" t="str">
        <f t="shared" si="18"/>
        <v>行号04</v>
      </c>
      <c r="I287" s="1" t="str">
        <f t="shared" si="19"/>
        <v>序号06</v>
      </c>
      <c r="J287" s="22" t="s">
        <v>275</v>
      </c>
      <c r="K287" s="1"/>
      <c r="L287" s="1"/>
      <c r="M287" s="1"/>
      <c r="N287" s="1"/>
    </row>
    <row r="288" spans="1:14">
      <c r="A288" s="8" t="s">
        <v>20</v>
      </c>
      <c r="B288" s="1">
        <v>13</v>
      </c>
      <c r="C288" s="8" t="s">
        <v>20</v>
      </c>
      <c r="D288" s="11" t="s">
        <v>26</v>
      </c>
      <c r="E288" s="7" t="str">
        <f t="shared" si="16"/>
        <v>04130407</v>
      </c>
      <c r="F288" s="1" t="s">
        <v>278</v>
      </c>
      <c r="G288" s="1" t="str">
        <f t="shared" si="17"/>
        <v>抽屉13</v>
      </c>
      <c r="H288" t="str">
        <f t="shared" si="18"/>
        <v>行号04</v>
      </c>
      <c r="I288" s="1" t="str">
        <f t="shared" si="19"/>
        <v>序号07</v>
      </c>
      <c r="J288" s="22" t="s">
        <v>276</v>
      </c>
      <c r="K288" s="1"/>
      <c r="L288" s="1"/>
      <c r="M288" s="1"/>
      <c r="N288" s="1"/>
    </row>
    <row r="289" spans="1:14">
      <c r="A289" s="8" t="s">
        <v>20</v>
      </c>
      <c r="B289" s="1">
        <v>13</v>
      </c>
      <c r="C289" s="8" t="s">
        <v>20</v>
      </c>
      <c r="D289" s="11" t="s">
        <v>28</v>
      </c>
      <c r="E289" s="7" t="str">
        <f t="shared" si="16"/>
        <v>04130408</v>
      </c>
      <c r="F289" s="1" t="s">
        <v>278</v>
      </c>
      <c r="G289" s="1" t="str">
        <f t="shared" si="17"/>
        <v>抽屉13</v>
      </c>
      <c r="H289" t="str">
        <f t="shared" si="18"/>
        <v>行号04</v>
      </c>
      <c r="I289" s="1" t="str">
        <f t="shared" si="19"/>
        <v>序号08</v>
      </c>
      <c r="J289" s="22" t="s">
        <v>277</v>
      </c>
      <c r="K289" s="1"/>
      <c r="L289" s="1"/>
      <c r="M289" s="1"/>
      <c r="N289" s="1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450"/>
  <sheetViews>
    <sheetView topLeftCell="D1" zoomScale="110" zoomScaleNormal="110" workbookViewId="0">
      <pane ySplit="1" topLeftCell="A458" activePane="bottomLeft" state="frozen"/>
      <selection activeCell="E1" sqref="E1"/>
      <selection pane="bottomLeft" activeCell="N371" sqref="N371"/>
    </sheetView>
  </sheetViews>
  <sheetFormatPr defaultColWidth="9" defaultRowHeight="18"/>
  <cols>
    <col min="3" max="3" width="12" customWidth="1"/>
    <col min="5" max="5" width="17.75" style="2" customWidth="1"/>
    <col min="6" max="6" width="14.5" customWidth="1"/>
    <col min="7" max="7" width="16.125" customWidth="1"/>
    <col min="8" max="8" width="23.875" customWidth="1"/>
    <col min="9" max="9" width="13.625" customWidth="1"/>
    <col min="10" max="10" width="30.125" customWidth="1"/>
    <col min="11" max="11" width="9.125" style="17" customWidth="1"/>
    <col min="12" max="12" width="10.125" style="17" customWidth="1"/>
    <col min="13" max="13" width="11.375" style="17" customWidth="1"/>
    <col min="14" max="14" width="9.625" style="17" customWidth="1"/>
    <col min="15" max="15" width="12.375" style="17" customWidth="1"/>
    <col min="16" max="16" width="13.625" style="31" customWidth="1"/>
    <col min="17" max="17" width="9" style="20"/>
    <col min="18" max="51" width="9" style="3"/>
  </cols>
  <sheetData>
    <row r="1" spans="1:51" s="1" customFormat="1" ht="28.5" customHeight="1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1228</v>
      </c>
      <c r="P1" s="33" t="s">
        <v>1229</v>
      </c>
      <c r="Q1" s="30" t="s">
        <v>1230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</row>
    <row r="2" spans="1:51" s="1" customFormat="1" ht="15.95" customHeight="1">
      <c r="A2" s="8" t="s">
        <v>22</v>
      </c>
      <c r="B2" s="9" t="s">
        <v>14</v>
      </c>
      <c r="C2" s="10" t="s">
        <v>14</v>
      </c>
      <c r="D2" s="8" t="s">
        <v>14</v>
      </c>
      <c r="E2" s="7" t="str">
        <f t="shared" ref="E2:E65" si="0">A2&amp;B2&amp;C2&amp;D2</f>
        <v>05010101</v>
      </c>
      <c r="F2" s="1" t="s">
        <v>1223</v>
      </c>
      <c r="G2" s="1" t="str">
        <f>"抽屉"&amp;B2&amp;"铣削刀片"</f>
        <v>抽屉01铣削刀片</v>
      </c>
      <c r="H2" t="str">
        <f>"行号"&amp;C2</f>
        <v>行号01</v>
      </c>
      <c r="I2" s="1" t="str">
        <f t="shared" ref="I2:I65" si="1">"序号"&amp;D2</f>
        <v>序号01</v>
      </c>
      <c r="J2" s="36" t="s">
        <v>1141</v>
      </c>
      <c r="K2" s="39">
        <v>0</v>
      </c>
      <c r="L2" s="39">
        <v>30</v>
      </c>
      <c r="M2" s="39"/>
      <c r="N2" s="39"/>
      <c r="O2" s="33" t="s">
        <v>1232</v>
      </c>
      <c r="P2" s="31">
        <v>796013</v>
      </c>
      <c r="Q2" s="31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</row>
    <row r="3" spans="1:51" ht="15.95" customHeight="1">
      <c r="A3" s="8" t="s">
        <v>22</v>
      </c>
      <c r="B3" s="9" t="s">
        <v>14</v>
      </c>
      <c r="C3" s="10" t="s">
        <v>14</v>
      </c>
      <c r="D3" s="8" t="s">
        <v>16</v>
      </c>
      <c r="E3" s="7" t="str">
        <f t="shared" si="0"/>
        <v>05010102</v>
      </c>
      <c r="F3" s="1" t="s">
        <v>1223</v>
      </c>
      <c r="G3" s="1" t="str">
        <f t="shared" ref="G3:G28" si="2">"抽屉"&amp;B3&amp;"铣削刀片"</f>
        <v>抽屉01铣削刀片</v>
      </c>
      <c r="H3" t="str">
        <f t="shared" ref="H3:H65" si="3">"行号"&amp;C3</f>
        <v>行号01</v>
      </c>
      <c r="I3" s="1" t="str">
        <f t="shared" si="1"/>
        <v>序号02</v>
      </c>
      <c r="J3" s="36" t="s">
        <v>861</v>
      </c>
      <c r="K3" s="39">
        <v>0</v>
      </c>
      <c r="L3" s="39">
        <v>30</v>
      </c>
      <c r="M3" s="39"/>
      <c r="N3" s="39"/>
      <c r="O3" s="33" t="s">
        <v>1232</v>
      </c>
      <c r="P3" s="31">
        <v>799263</v>
      </c>
    </row>
    <row r="4" spans="1:51" ht="15.95" customHeight="1">
      <c r="A4" s="8" t="s">
        <v>22</v>
      </c>
      <c r="B4" s="9" t="s">
        <v>14</v>
      </c>
      <c r="C4" s="10" t="s">
        <v>14</v>
      </c>
      <c r="D4" s="8" t="s">
        <v>18</v>
      </c>
      <c r="E4" s="7" t="str">
        <f t="shared" si="0"/>
        <v>05010103</v>
      </c>
      <c r="F4" s="1" t="s">
        <v>1223</v>
      </c>
      <c r="G4" s="1" t="str">
        <f t="shared" si="2"/>
        <v>抽屉01铣削刀片</v>
      </c>
      <c r="H4" t="str">
        <f t="shared" si="3"/>
        <v>行号01</v>
      </c>
      <c r="I4" s="1" t="str">
        <f t="shared" si="1"/>
        <v>序号03</v>
      </c>
      <c r="J4" s="49" t="s">
        <v>1225</v>
      </c>
      <c r="K4" s="39">
        <v>50</v>
      </c>
      <c r="L4" s="39">
        <v>80</v>
      </c>
      <c r="M4" s="39"/>
      <c r="N4" s="39"/>
      <c r="O4" s="17" t="s">
        <v>1261</v>
      </c>
      <c r="P4" s="31">
        <v>752314</v>
      </c>
      <c r="Q4" s="20">
        <v>143.65</v>
      </c>
    </row>
    <row r="5" spans="1:51" ht="15.95" customHeight="1">
      <c r="A5" s="8" t="s">
        <v>22</v>
      </c>
      <c r="B5" s="9" t="s">
        <v>14</v>
      </c>
      <c r="C5" s="10" t="s">
        <v>14</v>
      </c>
      <c r="D5" s="8" t="s">
        <v>20</v>
      </c>
      <c r="E5" s="7" t="str">
        <f t="shared" si="0"/>
        <v>05010104</v>
      </c>
      <c r="F5" s="1" t="s">
        <v>1223</v>
      </c>
      <c r="G5" s="1" t="str">
        <f t="shared" si="2"/>
        <v>抽屉01铣削刀片</v>
      </c>
      <c r="H5" t="str">
        <f t="shared" si="3"/>
        <v>行号01</v>
      </c>
      <c r="I5" s="1" t="str">
        <f t="shared" si="1"/>
        <v>序号04</v>
      </c>
      <c r="J5" s="36" t="s">
        <v>862</v>
      </c>
      <c r="K5" s="39">
        <v>0</v>
      </c>
      <c r="L5" s="39">
        <v>50</v>
      </c>
      <c r="M5" s="39"/>
      <c r="N5" s="39"/>
      <c r="O5" s="17" t="s">
        <v>1261</v>
      </c>
    </row>
    <row r="6" spans="1:51" ht="15.95" customHeight="1">
      <c r="A6" s="8" t="s">
        <v>22</v>
      </c>
      <c r="B6" s="9" t="s">
        <v>14</v>
      </c>
      <c r="C6" s="10" t="s">
        <v>14</v>
      </c>
      <c r="D6" s="8" t="s">
        <v>26</v>
      </c>
      <c r="E6" s="7" t="str">
        <f t="shared" si="0"/>
        <v>05010107</v>
      </c>
      <c r="F6" s="1" t="s">
        <v>1223</v>
      </c>
      <c r="G6" s="1" t="str">
        <f t="shared" si="2"/>
        <v>抽屉01铣削刀片</v>
      </c>
      <c r="H6" t="str">
        <f t="shared" si="3"/>
        <v>行号01</v>
      </c>
      <c r="I6" s="1" t="str">
        <f t="shared" si="1"/>
        <v>序号07</v>
      </c>
      <c r="J6" s="38"/>
      <c r="K6" s="41"/>
      <c r="L6" s="41"/>
      <c r="M6" s="41">
        <v>0</v>
      </c>
      <c r="N6" s="41">
        <v>0</v>
      </c>
    </row>
    <row r="7" spans="1:51" ht="15.95" customHeight="1">
      <c r="A7" s="8" t="s">
        <v>22</v>
      </c>
      <c r="B7" s="9" t="s">
        <v>14</v>
      </c>
      <c r="C7" s="10" t="s">
        <v>14</v>
      </c>
      <c r="D7" s="8" t="s">
        <v>28</v>
      </c>
      <c r="E7" s="7" t="str">
        <f t="shared" si="0"/>
        <v>05010108</v>
      </c>
      <c r="F7" s="1" t="s">
        <v>1223</v>
      </c>
      <c r="G7" s="1" t="str">
        <f t="shared" si="2"/>
        <v>抽屉01铣削刀片</v>
      </c>
      <c r="H7" t="str">
        <f t="shared" si="3"/>
        <v>行号01</v>
      </c>
      <c r="I7" s="1" t="str">
        <f t="shared" si="1"/>
        <v>序号08</v>
      </c>
      <c r="J7" s="38"/>
      <c r="K7" s="41"/>
      <c r="L7" s="41"/>
      <c r="M7" s="41">
        <v>0</v>
      </c>
      <c r="N7" s="41">
        <v>0</v>
      </c>
    </row>
    <row r="8" spans="1:51" ht="15.95" customHeight="1">
      <c r="A8" s="8" t="s">
        <v>22</v>
      </c>
      <c r="B8" s="9" t="s">
        <v>14</v>
      </c>
      <c r="C8" s="8" t="s">
        <v>16</v>
      </c>
      <c r="D8" s="11" t="s">
        <v>20</v>
      </c>
      <c r="E8" s="7" t="str">
        <f t="shared" si="0"/>
        <v>05010204</v>
      </c>
      <c r="F8" s="1" t="s">
        <v>1223</v>
      </c>
      <c r="G8" s="1" t="str">
        <f t="shared" si="2"/>
        <v>抽屉01铣削刀片</v>
      </c>
      <c r="H8" t="str">
        <f t="shared" si="3"/>
        <v>行号02</v>
      </c>
      <c r="I8" s="1" t="str">
        <f t="shared" si="1"/>
        <v>序号04</v>
      </c>
      <c r="J8" t="s">
        <v>868</v>
      </c>
      <c r="K8" s="39">
        <v>0</v>
      </c>
      <c r="L8" s="39">
        <v>5</v>
      </c>
      <c r="M8" s="39"/>
      <c r="N8" s="39"/>
      <c r="O8" s="17" t="s">
        <v>1261</v>
      </c>
      <c r="Q8" s="20">
        <v>577.85</v>
      </c>
    </row>
    <row r="9" spans="1:51" ht="15.95" customHeight="1">
      <c r="A9" s="8" t="s">
        <v>22</v>
      </c>
      <c r="B9" s="9" t="s">
        <v>14</v>
      </c>
      <c r="C9" s="8" t="s">
        <v>16</v>
      </c>
      <c r="D9" s="11" t="s">
        <v>22</v>
      </c>
      <c r="E9" s="7" t="str">
        <f t="shared" si="0"/>
        <v>05010205</v>
      </c>
      <c r="F9" s="1" t="s">
        <v>1223</v>
      </c>
      <c r="G9" s="1" t="str">
        <f t="shared" si="2"/>
        <v>抽屉01铣削刀片</v>
      </c>
      <c r="H9" t="str">
        <f t="shared" si="3"/>
        <v>行号02</v>
      </c>
      <c r="I9" s="1" t="str">
        <f t="shared" si="1"/>
        <v>序号05</v>
      </c>
      <c r="J9" s="29" t="s">
        <v>1226</v>
      </c>
      <c r="K9" s="39">
        <v>80</v>
      </c>
      <c r="L9" s="39">
        <v>80</v>
      </c>
      <c r="M9" s="39"/>
      <c r="N9" s="39"/>
      <c r="O9" s="17" t="s">
        <v>1261</v>
      </c>
      <c r="P9" s="31">
        <v>968221</v>
      </c>
      <c r="Q9" s="20">
        <v>143.65</v>
      </c>
    </row>
    <row r="10" spans="1:51" ht="15.95" customHeight="1">
      <c r="A10" s="8" t="s">
        <v>22</v>
      </c>
      <c r="B10" s="9" t="s">
        <v>14</v>
      </c>
      <c r="C10" s="8" t="s">
        <v>16</v>
      </c>
      <c r="D10" s="11" t="s">
        <v>24</v>
      </c>
      <c r="E10" s="7" t="str">
        <f t="shared" si="0"/>
        <v>05010206</v>
      </c>
      <c r="F10" s="1" t="s">
        <v>1223</v>
      </c>
      <c r="G10" s="1" t="str">
        <f t="shared" si="2"/>
        <v>抽屉01铣削刀片</v>
      </c>
      <c r="H10" t="str">
        <f t="shared" si="3"/>
        <v>行号02</v>
      </c>
      <c r="I10" s="1" t="str">
        <f t="shared" si="1"/>
        <v>序号06</v>
      </c>
      <c r="J10" s="36" t="s">
        <v>869</v>
      </c>
      <c r="K10" s="39">
        <v>0</v>
      </c>
      <c r="L10" s="39">
        <v>20</v>
      </c>
      <c r="M10" s="39"/>
      <c r="N10" s="39"/>
      <c r="O10" s="17" t="s">
        <v>1232</v>
      </c>
    </row>
    <row r="11" spans="1:51" ht="15.95" customHeight="1">
      <c r="A11" s="8" t="s">
        <v>22</v>
      </c>
      <c r="B11" s="9" t="s">
        <v>14</v>
      </c>
      <c r="C11" s="8" t="s">
        <v>16</v>
      </c>
      <c r="D11" s="11" t="s">
        <v>26</v>
      </c>
      <c r="E11" s="7" t="str">
        <f t="shared" si="0"/>
        <v>05010207</v>
      </c>
      <c r="F11" s="1" t="s">
        <v>1223</v>
      </c>
      <c r="G11" s="1" t="str">
        <f t="shared" si="2"/>
        <v>抽屉01铣削刀片</v>
      </c>
      <c r="H11" t="str">
        <f t="shared" si="3"/>
        <v>行号02</v>
      </c>
      <c r="I11" s="1" t="str">
        <f t="shared" si="1"/>
        <v>序号07</v>
      </c>
      <c r="J11" s="38"/>
      <c r="K11" s="41"/>
      <c r="L11" s="41"/>
      <c r="M11" s="41">
        <v>0</v>
      </c>
      <c r="N11" s="41">
        <v>0</v>
      </c>
    </row>
    <row r="12" spans="1:51" ht="15.95" customHeight="1">
      <c r="A12" s="8" t="s">
        <v>22</v>
      </c>
      <c r="B12" s="9" t="s">
        <v>14</v>
      </c>
      <c r="C12" s="8" t="s">
        <v>16</v>
      </c>
      <c r="D12" s="11" t="s">
        <v>28</v>
      </c>
      <c r="E12" s="7" t="str">
        <f t="shared" si="0"/>
        <v>05010208</v>
      </c>
      <c r="F12" s="1" t="s">
        <v>1223</v>
      </c>
      <c r="G12" s="1" t="str">
        <f t="shared" si="2"/>
        <v>抽屉01铣削刀片</v>
      </c>
      <c r="H12" t="str">
        <f t="shared" si="3"/>
        <v>行号02</v>
      </c>
      <c r="I12" s="1" t="str">
        <f t="shared" si="1"/>
        <v>序号08</v>
      </c>
      <c r="J12" s="38"/>
      <c r="K12" s="41"/>
      <c r="L12" s="41"/>
      <c r="M12" s="41">
        <v>0</v>
      </c>
      <c r="N12" s="41">
        <v>0</v>
      </c>
    </row>
    <row r="13" spans="1:51" ht="15.95" customHeight="1">
      <c r="A13" s="8" t="s">
        <v>22</v>
      </c>
      <c r="B13" s="9" t="s">
        <v>14</v>
      </c>
      <c r="C13" s="10" t="s">
        <v>18</v>
      </c>
      <c r="D13" s="8" t="s">
        <v>14</v>
      </c>
      <c r="E13" s="7" t="str">
        <f t="shared" si="0"/>
        <v>05010301</v>
      </c>
      <c r="F13" s="1" t="s">
        <v>1223</v>
      </c>
      <c r="G13" s="1" t="str">
        <f t="shared" si="2"/>
        <v>抽屉01铣削刀片</v>
      </c>
      <c r="H13" t="str">
        <f t="shared" si="3"/>
        <v>行号03</v>
      </c>
      <c r="I13" s="1" t="str">
        <f t="shared" si="1"/>
        <v>序号01</v>
      </c>
      <c r="J13" s="36" t="s">
        <v>870</v>
      </c>
      <c r="K13" s="39">
        <v>0</v>
      </c>
      <c r="L13" s="39">
        <v>20</v>
      </c>
      <c r="M13" s="39"/>
      <c r="N13" s="39"/>
      <c r="O13" s="17" t="s">
        <v>1261</v>
      </c>
    </row>
    <row r="14" spans="1:51" ht="15.95" customHeight="1">
      <c r="A14" s="8" t="s">
        <v>22</v>
      </c>
      <c r="B14" s="9" t="s">
        <v>14</v>
      </c>
      <c r="C14" s="10" t="s">
        <v>18</v>
      </c>
      <c r="D14" s="8" t="s">
        <v>16</v>
      </c>
      <c r="E14" s="7" t="str">
        <f t="shared" si="0"/>
        <v>05010302</v>
      </c>
      <c r="F14" s="1" t="s">
        <v>1223</v>
      </c>
      <c r="G14" s="1" t="str">
        <f t="shared" si="2"/>
        <v>抽屉01铣削刀片</v>
      </c>
      <c r="H14" t="str">
        <f t="shared" si="3"/>
        <v>行号03</v>
      </c>
      <c r="I14" s="1" t="str">
        <f t="shared" si="1"/>
        <v>序号02</v>
      </c>
      <c r="J14" s="36" t="s">
        <v>871</v>
      </c>
      <c r="K14" s="39">
        <v>0</v>
      </c>
      <c r="L14" s="39">
        <v>20</v>
      </c>
      <c r="M14" s="39"/>
      <c r="N14" s="39"/>
      <c r="O14" s="17" t="s">
        <v>1232</v>
      </c>
    </row>
    <row r="15" spans="1:51" ht="15.95" customHeight="1">
      <c r="A15" s="8" t="s">
        <v>22</v>
      </c>
      <c r="B15" s="9" t="s">
        <v>14</v>
      </c>
      <c r="C15" s="10" t="s">
        <v>18</v>
      </c>
      <c r="D15" s="8" t="s">
        <v>18</v>
      </c>
      <c r="E15" s="7" t="str">
        <f t="shared" si="0"/>
        <v>05010303</v>
      </c>
      <c r="F15" s="1" t="s">
        <v>1223</v>
      </c>
      <c r="G15" s="1" t="str">
        <f t="shared" si="2"/>
        <v>抽屉01铣削刀片</v>
      </c>
      <c r="H15" t="str">
        <f t="shared" si="3"/>
        <v>行号03</v>
      </c>
      <c r="I15" s="1" t="str">
        <f t="shared" si="1"/>
        <v>序号03</v>
      </c>
      <c r="J15" s="36" t="s">
        <v>872</v>
      </c>
      <c r="K15" s="39">
        <v>0</v>
      </c>
      <c r="L15" s="39">
        <v>20</v>
      </c>
      <c r="M15" s="39"/>
      <c r="N15" s="39"/>
      <c r="O15" s="17" t="s">
        <v>1261</v>
      </c>
    </row>
    <row r="16" spans="1:51" ht="15.95" customHeight="1">
      <c r="A16" s="8" t="s">
        <v>22</v>
      </c>
      <c r="B16" s="9" t="s">
        <v>14</v>
      </c>
      <c r="C16" s="10" t="s">
        <v>18</v>
      </c>
      <c r="D16" s="8" t="s">
        <v>20</v>
      </c>
      <c r="E16" s="7" t="str">
        <f t="shared" si="0"/>
        <v>05010304</v>
      </c>
      <c r="F16" s="1" t="s">
        <v>1223</v>
      </c>
      <c r="G16" s="1" t="str">
        <f t="shared" si="2"/>
        <v>抽屉01铣削刀片</v>
      </c>
      <c r="H16" t="str">
        <f t="shared" si="3"/>
        <v>行号03</v>
      </c>
      <c r="I16" s="1" t="str">
        <f t="shared" si="1"/>
        <v>序号04</v>
      </c>
      <c r="J16" s="25" t="s">
        <v>873</v>
      </c>
      <c r="K16" s="39">
        <v>5</v>
      </c>
      <c r="L16" s="39">
        <v>10</v>
      </c>
      <c r="M16" s="39"/>
      <c r="N16" s="39"/>
      <c r="O16" s="17" t="s">
        <v>1262</v>
      </c>
    </row>
    <row r="17" spans="1:17" ht="15.95" customHeight="1">
      <c r="A17" s="8" t="s">
        <v>22</v>
      </c>
      <c r="B17" s="9" t="s">
        <v>14</v>
      </c>
      <c r="C17" s="10" t="s">
        <v>18</v>
      </c>
      <c r="D17" s="8" t="s">
        <v>22</v>
      </c>
      <c r="E17" s="7" t="str">
        <f t="shared" si="0"/>
        <v>05010305</v>
      </c>
      <c r="F17" s="1" t="s">
        <v>1223</v>
      </c>
      <c r="G17" s="1" t="str">
        <f t="shared" si="2"/>
        <v>抽屉01铣削刀片</v>
      </c>
      <c r="H17" t="str">
        <f t="shared" si="3"/>
        <v>行号03</v>
      </c>
      <c r="I17" s="1" t="str">
        <f t="shared" si="1"/>
        <v>序号05</v>
      </c>
      <c r="J17" s="25" t="s">
        <v>874</v>
      </c>
      <c r="K17" s="39">
        <v>5</v>
      </c>
      <c r="L17" s="39">
        <v>10</v>
      </c>
      <c r="M17" s="39"/>
      <c r="N17" s="39"/>
      <c r="O17" s="17" t="s">
        <v>1262</v>
      </c>
    </row>
    <row r="18" spans="1:17" ht="15.95" customHeight="1">
      <c r="A18" s="8" t="s">
        <v>22</v>
      </c>
      <c r="B18" s="9" t="s">
        <v>14</v>
      </c>
      <c r="C18" s="10" t="s">
        <v>18</v>
      </c>
      <c r="D18" s="8" t="s">
        <v>24</v>
      </c>
      <c r="E18" s="7" t="str">
        <f t="shared" si="0"/>
        <v>05010306</v>
      </c>
      <c r="F18" s="1" t="s">
        <v>1223</v>
      </c>
      <c r="G18" s="1" t="str">
        <f t="shared" si="2"/>
        <v>抽屉01铣削刀片</v>
      </c>
      <c r="H18" t="str">
        <f t="shared" si="3"/>
        <v>行号03</v>
      </c>
      <c r="I18" s="1" t="str">
        <f t="shared" si="1"/>
        <v>序号06</v>
      </c>
      <c r="J18" s="53" t="s">
        <v>875</v>
      </c>
      <c r="K18" s="39">
        <v>5</v>
      </c>
      <c r="L18" s="39">
        <v>10</v>
      </c>
      <c r="M18" s="39"/>
      <c r="N18" s="39"/>
      <c r="O18" s="17" t="s">
        <v>1262</v>
      </c>
    </row>
    <row r="19" spans="1:17" ht="15.95" customHeight="1">
      <c r="A19" s="8" t="s">
        <v>22</v>
      </c>
      <c r="B19" s="9" t="s">
        <v>14</v>
      </c>
      <c r="C19" s="10" t="s">
        <v>18</v>
      </c>
      <c r="D19" s="8" t="s">
        <v>26</v>
      </c>
      <c r="E19" s="7" t="str">
        <f t="shared" si="0"/>
        <v>05010307</v>
      </c>
      <c r="F19" s="1" t="s">
        <v>1223</v>
      </c>
      <c r="G19" s="1" t="str">
        <f t="shared" si="2"/>
        <v>抽屉01铣削刀片</v>
      </c>
      <c r="H19" t="str">
        <f t="shared" si="3"/>
        <v>行号03</v>
      </c>
      <c r="I19" s="1" t="str">
        <f t="shared" si="1"/>
        <v>序号07</v>
      </c>
      <c r="J19" s="38"/>
      <c r="K19" s="41"/>
      <c r="L19" s="41"/>
      <c r="M19" s="41">
        <v>0</v>
      </c>
      <c r="N19" s="41">
        <v>0</v>
      </c>
    </row>
    <row r="20" spans="1:17" ht="15.95" customHeight="1">
      <c r="A20" s="8" t="s">
        <v>22</v>
      </c>
      <c r="B20" s="9" t="s">
        <v>14</v>
      </c>
      <c r="C20" s="10" t="s">
        <v>18</v>
      </c>
      <c r="D20" s="8" t="s">
        <v>28</v>
      </c>
      <c r="E20" s="7" t="str">
        <f t="shared" si="0"/>
        <v>05010308</v>
      </c>
      <c r="F20" s="1" t="s">
        <v>1223</v>
      </c>
      <c r="G20" s="1" t="str">
        <f t="shared" si="2"/>
        <v>抽屉01铣削刀片</v>
      </c>
      <c r="H20" t="str">
        <f t="shared" si="3"/>
        <v>行号03</v>
      </c>
      <c r="I20" s="1" t="str">
        <f t="shared" si="1"/>
        <v>序号08</v>
      </c>
      <c r="J20" s="38"/>
      <c r="K20" s="41"/>
      <c r="L20" s="41"/>
      <c r="M20" s="41">
        <v>0</v>
      </c>
      <c r="N20" s="41">
        <v>0</v>
      </c>
    </row>
    <row r="21" spans="1:17" ht="15.95" customHeight="1">
      <c r="A21" s="8" t="s">
        <v>22</v>
      </c>
      <c r="B21" s="9" t="s">
        <v>14</v>
      </c>
      <c r="C21" s="8" t="s">
        <v>20</v>
      </c>
      <c r="D21" s="11" t="s">
        <v>14</v>
      </c>
      <c r="E21" s="7" t="str">
        <f t="shared" si="0"/>
        <v>05010401</v>
      </c>
      <c r="F21" s="1" t="s">
        <v>1223</v>
      </c>
      <c r="G21" s="1" t="str">
        <f t="shared" si="2"/>
        <v>抽屉01铣削刀片</v>
      </c>
      <c r="H21" t="str">
        <f t="shared" si="3"/>
        <v>行号04</v>
      </c>
      <c r="I21" s="1" t="str">
        <f t="shared" si="1"/>
        <v>序号01</v>
      </c>
      <c r="J21" s="53" t="s">
        <v>876</v>
      </c>
      <c r="K21" s="39">
        <v>0</v>
      </c>
      <c r="L21" s="39">
        <v>10</v>
      </c>
      <c r="M21" s="39"/>
      <c r="N21" s="39"/>
      <c r="O21" s="17" t="s">
        <v>1261</v>
      </c>
      <c r="Q21" s="20">
        <v>23.85</v>
      </c>
    </row>
    <row r="22" spans="1:17" ht="15.95" customHeight="1">
      <c r="A22" s="8" t="s">
        <v>22</v>
      </c>
      <c r="B22" s="9" t="s">
        <v>14</v>
      </c>
      <c r="C22" s="8" t="s">
        <v>20</v>
      </c>
      <c r="D22" s="11" t="s">
        <v>16</v>
      </c>
      <c r="E22" s="7" t="str">
        <f t="shared" si="0"/>
        <v>05010402</v>
      </c>
      <c r="F22" s="1" t="s">
        <v>1223</v>
      </c>
      <c r="G22" s="1" t="str">
        <f t="shared" si="2"/>
        <v>抽屉01铣削刀片</v>
      </c>
      <c r="H22" t="str">
        <f t="shared" si="3"/>
        <v>行号04</v>
      </c>
      <c r="I22" s="1" t="str">
        <f t="shared" si="1"/>
        <v>序号02</v>
      </c>
      <c r="J22" s="38"/>
      <c r="K22" s="41"/>
      <c r="L22" s="41"/>
      <c r="M22" s="41">
        <v>0</v>
      </c>
      <c r="N22" s="41">
        <v>0</v>
      </c>
    </row>
    <row r="23" spans="1:17" ht="15.95" customHeight="1">
      <c r="A23" s="8" t="s">
        <v>22</v>
      </c>
      <c r="B23" s="9" t="s">
        <v>14</v>
      </c>
      <c r="C23" s="8" t="s">
        <v>20</v>
      </c>
      <c r="D23" s="11" t="s">
        <v>18</v>
      </c>
      <c r="E23" s="7" t="str">
        <f t="shared" si="0"/>
        <v>05010403</v>
      </c>
      <c r="F23" s="1" t="s">
        <v>1223</v>
      </c>
      <c r="G23" s="1" t="str">
        <f t="shared" si="2"/>
        <v>抽屉01铣削刀片</v>
      </c>
      <c r="H23" t="str">
        <f t="shared" si="3"/>
        <v>行号04</v>
      </c>
      <c r="I23" s="1" t="str">
        <f t="shared" si="1"/>
        <v>序号03</v>
      </c>
      <c r="J23" s="38"/>
      <c r="K23" s="41"/>
      <c r="L23" s="41"/>
      <c r="M23" s="41">
        <v>0</v>
      </c>
      <c r="N23" s="41">
        <v>0</v>
      </c>
    </row>
    <row r="24" spans="1:17" ht="15.95" customHeight="1">
      <c r="A24" s="8" t="s">
        <v>22</v>
      </c>
      <c r="B24" s="9" t="s">
        <v>14</v>
      </c>
      <c r="C24" s="8" t="s">
        <v>20</v>
      </c>
      <c r="D24" s="11" t="s">
        <v>20</v>
      </c>
      <c r="E24" s="7" t="str">
        <f t="shared" si="0"/>
        <v>05010404</v>
      </c>
      <c r="F24" s="1" t="s">
        <v>1223</v>
      </c>
      <c r="G24" s="1" t="str">
        <f t="shared" si="2"/>
        <v>抽屉01铣削刀片</v>
      </c>
      <c r="H24" t="str">
        <f t="shared" si="3"/>
        <v>行号04</v>
      </c>
      <c r="I24" s="1" t="str">
        <f t="shared" si="1"/>
        <v>序号04</v>
      </c>
      <c r="J24" s="24"/>
      <c r="K24" s="41"/>
      <c r="L24" s="41"/>
      <c r="M24" s="41">
        <v>0</v>
      </c>
      <c r="N24" s="41">
        <v>0</v>
      </c>
    </row>
    <row r="25" spans="1:17" ht="15.95" customHeight="1">
      <c r="A25" s="8" t="s">
        <v>22</v>
      </c>
      <c r="B25" s="9" t="s">
        <v>14</v>
      </c>
      <c r="C25" s="8" t="s">
        <v>20</v>
      </c>
      <c r="D25" s="11" t="s">
        <v>22</v>
      </c>
      <c r="E25" s="7" t="str">
        <f t="shared" si="0"/>
        <v>05010405</v>
      </c>
      <c r="F25" s="1" t="s">
        <v>1223</v>
      </c>
      <c r="G25" s="1" t="str">
        <f t="shared" si="2"/>
        <v>抽屉01铣削刀片</v>
      </c>
      <c r="H25" t="str">
        <f t="shared" si="3"/>
        <v>行号04</v>
      </c>
      <c r="I25" s="1" t="str">
        <f t="shared" si="1"/>
        <v>序号05</v>
      </c>
      <c r="J25" s="24"/>
      <c r="K25" s="41"/>
      <c r="L25" s="41"/>
      <c r="M25" s="41">
        <v>0</v>
      </c>
      <c r="N25" s="41">
        <v>0</v>
      </c>
    </row>
    <row r="26" spans="1:17" ht="15.95" customHeight="1">
      <c r="A26" s="8" t="s">
        <v>22</v>
      </c>
      <c r="B26" s="9" t="s">
        <v>14</v>
      </c>
      <c r="C26" s="8" t="s">
        <v>20</v>
      </c>
      <c r="D26" s="11" t="s">
        <v>24</v>
      </c>
      <c r="E26" s="7" t="str">
        <f t="shared" si="0"/>
        <v>05010406</v>
      </c>
      <c r="F26" s="1" t="s">
        <v>1223</v>
      </c>
      <c r="G26" s="1" t="str">
        <f t="shared" si="2"/>
        <v>抽屉01铣削刀片</v>
      </c>
      <c r="H26" t="str">
        <f t="shared" si="3"/>
        <v>行号04</v>
      </c>
      <c r="I26" s="1" t="str">
        <f t="shared" si="1"/>
        <v>序号06</v>
      </c>
      <c r="J26" s="38"/>
      <c r="K26" s="41"/>
      <c r="L26" s="41"/>
      <c r="M26" s="41">
        <v>0</v>
      </c>
      <c r="N26" s="41">
        <v>0</v>
      </c>
    </row>
    <row r="27" spans="1:17" ht="15.95" customHeight="1">
      <c r="A27" s="8" t="s">
        <v>22</v>
      </c>
      <c r="B27" s="9" t="s">
        <v>14</v>
      </c>
      <c r="C27" s="8" t="s">
        <v>20</v>
      </c>
      <c r="D27" s="11" t="s">
        <v>26</v>
      </c>
      <c r="E27" s="7" t="str">
        <f t="shared" si="0"/>
        <v>05010407</v>
      </c>
      <c r="F27" s="1" t="s">
        <v>1223</v>
      </c>
      <c r="G27" s="1" t="str">
        <f t="shared" si="2"/>
        <v>抽屉01铣削刀片</v>
      </c>
      <c r="H27" t="str">
        <f t="shared" si="3"/>
        <v>行号04</v>
      </c>
      <c r="I27" s="1" t="str">
        <f t="shared" si="1"/>
        <v>序号07</v>
      </c>
      <c r="J27" s="24"/>
      <c r="K27" s="41"/>
      <c r="L27" s="41"/>
      <c r="M27" s="41">
        <v>0</v>
      </c>
      <c r="N27" s="41">
        <v>0</v>
      </c>
    </row>
    <row r="28" spans="1:17" ht="15.95" customHeight="1">
      <c r="A28" s="8" t="s">
        <v>22</v>
      </c>
      <c r="B28" s="9" t="s">
        <v>14</v>
      </c>
      <c r="C28" s="8" t="s">
        <v>20</v>
      </c>
      <c r="D28" s="11" t="s">
        <v>28</v>
      </c>
      <c r="E28" s="7" t="str">
        <f t="shared" si="0"/>
        <v>05010408</v>
      </c>
      <c r="F28" s="1" t="s">
        <v>1223</v>
      </c>
      <c r="G28" s="1" t="str">
        <f t="shared" si="2"/>
        <v>抽屉01铣削刀片</v>
      </c>
      <c r="H28" t="str">
        <f t="shared" si="3"/>
        <v>行号04</v>
      </c>
      <c r="I28" s="1" t="str">
        <f t="shared" si="1"/>
        <v>序号08</v>
      </c>
      <c r="J28" s="24"/>
      <c r="K28" s="41"/>
      <c r="L28" s="41"/>
      <c r="M28" s="41">
        <v>0</v>
      </c>
      <c r="N28" s="41">
        <v>0</v>
      </c>
    </row>
    <row r="29" spans="1:17" ht="15.95" customHeight="1">
      <c r="A29" s="8" t="s">
        <v>22</v>
      </c>
      <c r="B29" s="8" t="s">
        <v>16</v>
      </c>
      <c r="C29" s="10" t="s">
        <v>14</v>
      </c>
      <c r="D29" s="8" t="s">
        <v>14</v>
      </c>
      <c r="E29" s="7" t="str">
        <f t="shared" si="0"/>
        <v>05020101</v>
      </c>
      <c r="F29" s="1" t="s">
        <v>1223</v>
      </c>
      <c r="G29" s="1" t="str">
        <f>"抽屉"&amp;B29&amp;"立铣刀"</f>
        <v>抽屉02立铣刀</v>
      </c>
      <c r="H29" t="str">
        <f t="shared" si="3"/>
        <v>行号01</v>
      </c>
      <c r="I29" s="1" t="str">
        <f t="shared" si="1"/>
        <v>序号01</v>
      </c>
      <c r="J29" t="s">
        <v>877</v>
      </c>
      <c r="K29" s="39">
        <v>0</v>
      </c>
      <c r="L29" s="39">
        <v>10</v>
      </c>
      <c r="M29" s="39"/>
      <c r="N29" s="39"/>
      <c r="O29" s="17" t="s">
        <v>1263</v>
      </c>
      <c r="P29" s="31">
        <v>969114</v>
      </c>
    </row>
    <row r="30" spans="1:17" ht="15.95" customHeight="1">
      <c r="A30" s="8" t="s">
        <v>22</v>
      </c>
      <c r="B30" s="8" t="s">
        <v>16</v>
      </c>
      <c r="C30" s="10" t="s">
        <v>14</v>
      </c>
      <c r="D30" s="8" t="s">
        <v>16</v>
      </c>
      <c r="E30" s="7" t="str">
        <f t="shared" si="0"/>
        <v>05020102</v>
      </c>
      <c r="F30" s="1" t="s">
        <v>1223</v>
      </c>
      <c r="G30" s="1" t="str">
        <f t="shared" ref="G30:G49" si="4">"抽屉"&amp;B30&amp;"立铣刀"</f>
        <v>抽屉02立铣刀</v>
      </c>
      <c r="H30" t="str">
        <f t="shared" si="3"/>
        <v>行号01</v>
      </c>
      <c r="I30" s="1" t="str">
        <f t="shared" si="1"/>
        <v>序号02</v>
      </c>
      <c r="J30" t="s">
        <v>878</v>
      </c>
      <c r="K30" s="39">
        <v>0</v>
      </c>
      <c r="L30" s="39">
        <v>10</v>
      </c>
      <c r="M30" s="39"/>
      <c r="N30" s="39"/>
      <c r="O30" s="17" t="s">
        <v>1263</v>
      </c>
    </row>
    <row r="31" spans="1:17" ht="15.95" customHeight="1">
      <c r="A31" s="8" t="s">
        <v>22</v>
      </c>
      <c r="B31" s="8" t="s">
        <v>16</v>
      </c>
      <c r="C31" s="10" t="s">
        <v>14</v>
      </c>
      <c r="D31" s="8" t="s">
        <v>18</v>
      </c>
      <c r="E31" s="7" t="str">
        <f t="shared" si="0"/>
        <v>05020103</v>
      </c>
      <c r="F31" s="1" t="s">
        <v>1223</v>
      </c>
      <c r="G31" s="1" t="str">
        <f t="shared" si="4"/>
        <v>抽屉02立铣刀</v>
      </c>
      <c r="H31" t="str">
        <f t="shared" si="3"/>
        <v>行号01</v>
      </c>
      <c r="I31" s="1" t="str">
        <f t="shared" si="1"/>
        <v>序号03</v>
      </c>
      <c r="J31" t="s">
        <v>879</v>
      </c>
      <c r="K31" s="39">
        <v>0</v>
      </c>
      <c r="L31" s="39">
        <v>10</v>
      </c>
      <c r="M31" s="39"/>
      <c r="N31" s="39"/>
      <c r="O31" s="17" t="s">
        <v>1263</v>
      </c>
    </row>
    <row r="32" spans="1:17" ht="15.95" customHeight="1">
      <c r="A32" s="8" t="s">
        <v>22</v>
      </c>
      <c r="B32" s="8" t="s">
        <v>16</v>
      </c>
      <c r="C32" s="10" t="s">
        <v>14</v>
      </c>
      <c r="D32" s="8" t="s">
        <v>20</v>
      </c>
      <c r="E32" s="7" t="str">
        <f t="shared" si="0"/>
        <v>05020104</v>
      </c>
      <c r="F32" s="1" t="s">
        <v>1223</v>
      </c>
      <c r="G32" s="1" t="str">
        <f t="shared" si="4"/>
        <v>抽屉02立铣刀</v>
      </c>
      <c r="H32" t="str">
        <f t="shared" si="3"/>
        <v>行号01</v>
      </c>
      <c r="I32" s="1" t="str">
        <f t="shared" si="1"/>
        <v>序号04</v>
      </c>
      <c r="J32" s="26" t="s">
        <v>880</v>
      </c>
      <c r="K32" s="39">
        <v>0</v>
      </c>
      <c r="L32" s="39">
        <v>10</v>
      </c>
      <c r="M32" s="39"/>
      <c r="N32" s="39"/>
      <c r="O32" s="17" t="s">
        <v>1264</v>
      </c>
    </row>
    <row r="33" spans="1:16" ht="15.95" customHeight="1">
      <c r="A33" s="8" t="s">
        <v>22</v>
      </c>
      <c r="B33" s="8" t="s">
        <v>16</v>
      </c>
      <c r="C33" s="10" t="s">
        <v>14</v>
      </c>
      <c r="D33" s="8" t="s">
        <v>22</v>
      </c>
      <c r="E33" s="7" t="str">
        <f t="shared" si="0"/>
        <v>05020105</v>
      </c>
      <c r="F33" s="1" t="s">
        <v>1223</v>
      </c>
      <c r="G33" s="1" t="str">
        <f t="shared" si="4"/>
        <v>抽屉02立铣刀</v>
      </c>
      <c r="H33" t="str">
        <f t="shared" si="3"/>
        <v>行号01</v>
      </c>
      <c r="I33" s="1" t="str">
        <f t="shared" si="1"/>
        <v>序号05</v>
      </c>
      <c r="J33" t="s">
        <v>881</v>
      </c>
      <c r="K33" s="39">
        <v>0</v>
      </c>
      <c r="L33" s="39">
        <v>10</v>
      </c>
      <c r="M33" s="39"/>
      <c r="N33" s="39"/>
      <c r="O33" s="17" t="s">
        <v>1263</v>
      </c>
    </row>
    <row r="34" spans="1:16" ht="15.95" customHeight="1">
      <c r="A34" s="8" t="s">
        <v>22</v>
      </c>
      <c r="B34" s="8" t="s">
        <v>16</v>
      </c>
      <c r="C34" s="10" t="s">
        <v>14</v>
      </c>
      <c r="D34" s="8" t="s">
        <v>26</v>
      </c>
      <c r="E34" s="7" t="str">
        <f t="shared" si="0"/>
        <v>05020107</v>
      </c>
      <c r="F34" s="1" t="s">
        <v>1223</v>
      </c>
      <c r="G34" s="1" t="str">
        <f t="shared" si="4"/>
        <v>抽屉02立铣刀</v>
      </c>
      <c r="H34" t="str">
        <f t="shared" si="3"/>
        <v>行号01</v>
      </c>
      <c r="I34" s="1" t="str">
        <f t="shared" si="1"/>
        <v>序号07</v>
      </c>
      <c r="J34" s="38"/>
      <c r="K34" s="41"/>
      <c r="L34" s="41"/>
      <c r="M34" s="41">
        <v>0</v>
      </c>
      <c r="N34" s="41">
        <v>0</v>
      </c>
    </row>
    <row r="35" spans="1:16" ht="15.95" customHeight="1">
      <c r="A35" s="8" t="s">
        <v>22</v>
      </c>
      <c r="B35" s="8" t="s">
        <v>16</v>
      </c>
      <c r="C35" s="10" t="s">
        <v>14</v>
      </c>
      <c r="D35" s="8" t="s">
        <v>28</v>
      </c>
      <c r="E35" s="7" t="str">
        <f t="shared" si="0"/>
        <v>05020108</v>
      </c>
      <c r="F35" s="1" t="s">
        <v>1223</v>
      </c>
      <c r="G35" s="1" t="str">
        <f t="shared" si="4"/>
        <v>抽屉02立铣刀</v>
      </c>
      <c r="H35" t="str">
        <f t="shared" si="3"/>
        <v>行号01</v>
      </c>
      <c r="I35" s="1" t="str">
        <f t="shared" si="1"/>
        <v>序号08</v>
      </c>
      <c r="J35" s="38"/>
      <c r="K35" s="41"/>
      <c r="L35" s="41"/>
      <c r="M35" s="41">
        <v>0</v>
      </c>
      <c r="N35" s="41">
        <v>0</v>
      </c>
    </row>
    <row r="36" spans="1:16" ht="15.95" customHeight="1">
      <c r="A36" s="8" t="s">
        <v>22</v>
      </c>
      <c r="B36" s="8" t="s">
        <v>16</v>
      </c>
      <c r="C36" s="8" t="s">
        <v>16</v>
      </c>
      <c r="D36" s="11" t="s">
        <v>16</v>
      </c>
      <c r="E36" s="7" t="str">
        <f t="shared" si="0"/>
        <v>05020202</v>
      </c>
      <c r="F36" s="1" t="s">
        <v>1223</v>
      </c>
      <c r="G36" s="1" t="str">
        <f t="shared" si="4"/>
        <v>抽屉02立铣刀</v>
      </c>
      <c r="H36" t="str">
        <f t="shared" si="3"/>
        <v>行号02</v>
      </c>
      <c r="I36" s="1" t="str">
        <f t="shared" si="1"/>
        <v>序号02</v>
      </c>
      <c r="J36" s="36" t="s">
        <v>884</v>
      </c>
      <c r="K36" s="39">
        <v>0</v>
      </c>
      <c r="L36" s="39">
        <v>10</v>
      </c>
      <c r="M36" s="39"/>
      <c r="N36" s="39"/>
      <c r="O36" s="17" t="s">
        <v>1264</v>
      </c>
    </row>
    <row r="37" spans="1:16" ht="15.95" customHeight="1">
      <c r="A37" s="8" t="s">
        <v>22</v>
      </c>
      <c r="B37" s="8" t="s">
        <v>16</v>
      </c>
      <c r="C37" s="8" t="s">
        <v>16</v>
      </c>
      <c r="D37" s="11" t="s">
        <v>18</v>
      </c>
      <c r="E37" s="7" t="str">
        <f t="shared" si="0"/>
        <v>05020203</v>
      </c>
      <c r="F37" s="1" t="s">
        <v>1223</v>
      </c>
      <c r="G37" s="1" t="str">
        <f t="shared" si="4"/>
        <v>抽屉02立铣刀</v>
      </c>
      <c r="H37" t="str">
        <f t="shared" si="3"/>
        <v>行号02</v>
      </c>
      <c r="I37" s="1" t="str">
        <f t="shared" si="1"/>
        <v>序号03</v>
      </c>
      <c r="J37" s="36" t="s">
        <v>885</v>
      </c>
      <c r="K37" s="39">
        <v>0</v>
      </c>
      <c r="L37" s="39">
        <v>10</v>
      </c>
      <c r="M37" s="39"/>
      <c r="N37" s="39"/>
      <c r="O37" s="17" t="s">
        <v>1263</v>
      </c>
    </row>
    <row r="38" spans="1:16" ht="15.95" customHeight="1">
      <c r="A38" s="8" t="s">
        <v>22</v>
      </c>
      <c r="B38" s="8" t="s">
        <v>16</v>
      </c>
      <c r="C38" s="8" t="s">
        <v>16</v>
      </c>
      <c r="D38" s="11" t="s">
        <v>24</v>
      </c>
      <c r="E38" s="7" t="str">
        <f t="shared" si="0"/>
        <v>05020206</v>
      </c>
      <c r="F38" s="1" t="s">
        <v>1223</v>
      </c>
      <c r="G38" s="1" t="str">
        <f t="shared" si="4"/>
        <v>抽屉02立铣刀</v>
      </c>
      <c r="H38" t="str">
        <f t="shared" si="3"/>
        <v>行号02</v>
      </c>
      <c r="I38" s="1" t="str">
        <f t="shared" si="1"/>
        <v>序号06</v>
      </c>
      <c r="J38" s="36" t="s">
        <v>888</v>
      </c>
      <c r="K38" s="39">
        <v>0</v>
      </c>
      <c r="L38" s="39">
        <v>10</v>
      </c>
      <c r="M38" s="39"/>
      <c r="N38" s="39"/>
      <c r="O38" s="17" t="s">
        <v>1263</v>
      </c>
      <c r="P38" s="31">
        <v>996929</v>
      </c>
    </row>
    <row r="39" spans="1:16" ht="15.95" customHeight="1">
      <c r="A39" s="8" t="s">
        <v>22</v>
      </c>
      <c r="B39" s="8" t="s">
        <v>16</v>
      </c>
      <c r="C39" s="8" t="s">
        <v>16</v>
      </c>
      <c r="D39" s="11" t="s">
        <v>26</v>
      </c>
      <c r="E39" s="7" t="str">
        <f t="shared" si="0"/>
        <v>05020207</v>
      </c>
      <c r="F39" s="1" t="s">
        <v>1223</v>
      </c>
      <c r="G39" s="1" t="str">
        <f t="shared" si="4"/>
        <v>抽屉02立铣刀</v>
      </c>
      <c r="H39" t="str">
        <f t="shared" si="3"/>
        <v>行号02</v>
      </c>
      <c r="I39" s="1" t="str">
        <f t="shared" si="1"/>
        <v>序号07</v>
      </c>
      <c r="J39" s="36" t="s">
        <v>889</v>
      </c>
      <c r="K39" s="39">
        <v>0</v>
      </c>
      <c r="L39" s="39">
        <v>10</v>
      </c>
      <c r="M39" s="39"/>
      <c r="N39" s="39"/>
      <c r="O39" s="17" t="s">
        <v>1263</v>
      </c>
    </row>
    <row r="40" spans="1:16" ht="15.95" customHeight="1">
      <c r="A40" s="8" t="s">
        <v>22</v>
      </c>
      <c r="B40" s="8" t="s">
        <v>16</v>
      </c>
      <c r="C40" s="8" t="s">
        <v>16</v>
      </c>
      <c r="D40" s="11" t="s">
        <v>28</v>
      </c>
      <c r="E40" s="7" t="str">
        <f t="shared" si="0"/>
        <v>05020208</v>
      </c>
      <c r="F40" s="1" t="s">
        <v>1223</v>
      </c>
      <c r="G40" s="1" t="str">
        <f t="shared" si="4"/>
        <v>抽屉02立铣刀</v>
      </c>
      <c r="H40" t="str">
        <f t="shared" si="3"/>
        <v>行号02</v>
      </c>
      <c r="I40" s="1" t="str">
        <f t="shared" si="1"/>
        <v>序号08</v>
      </c>
      <c r="J40" s="24"/>
      <c r="K40" s="41"/>
      <c r="L40" s="41"/>
      <c r="M40" s="41">
        <v>0</v>
      </c>
      <c r="N40" s="41">
        <v>0</v>
      </c>
    </row>
    <row r="41" spans="1:16" ht="15.95" customHeight="1">
      <c r="A41" s="8" t="s">
        <v>22</v>
      </c>
      <c r="B41" s="8" t="s">
        <v>16</v>
      </c>
      <c r="C41" s="10" t="s">
        <v>18</v>
      </c>
      <c r="D41" s="8" t="s">
        <v>14</v>
      </c>
      <c r="E41" s="7" t="str">
        <f t="shared" si="0"/>
        <v>05020301</v>
      </c>
      <c r="F41" s="1" t="s">
        <v>1223</v>
      </c>
      <c r="G41" s="1" t="str">
        <f t="shared" si="4"/>
        <v>抽屉02立铣刀</v>
      </c>
      <c r="H41" t="str">
        <f t="shared" si="3"/>
        <v>行号03</v>
      </c>
      <c r="I41" s="1" t="str">
        <f t="shared" si="1"/>
        <v>序号01</v>
      </c>
      <c r="J41" t="s">
        <v>890</v>
      </c>
      <c r="K41" s="39">
        <v>0</v>
      </c>
      <c r="L41" s="39">
        <v>10</v>
      </c>
      <c r="M41" s="39"/>
      <c r="N41" s="39"/>
      <c r="O41" s="17" t="s">
        <v>1263</v>
      </c>
    </row>
    <row r="42" spans="1:16" ht="15.95" customHeight="1">
      <c r="A42" s="8" t="s">
        <v>22</v>
      </c>
      <c r="B42" s="8" t="s">
        <v>16</v>
      </c>
      <c r="C42" s="10" t="s">
        <v>18</v>
      </c>
      <c r="D42" s="8" t="s">
        <v>16</v>
      </c>
      <c r="E42" s="7" t="str">
        <f t="shared" si="0"/>
        <v>05020302</v>
      </c>
      <c r="F42" s="1" t="s">
        <v>1223</v>
      </c>
      <c r="G42" s="1" t="str">
        <f t="shared" si="4"/>
        <v>抽屉02立铣刀</v>
      </c>
      <c r="H42" t="str">
        <f t="shared" si="3"/>
        <v>行号03</v>
      </c>
      <c r="I42" s="1" t="str">
        <f t="shared" si="1"/>
        <v>序号02</v>
      </c>
      <c r="J42" s="36" t="s">
        <v>891</v>
      </c>
      <c r="K42" s="39">
        <v>0</v>
      </c>
      <c r="L42" s="39">
        <v>10</v>
      </c>
      <c r="M42" s="39"/>
      <c r="N42" s="39"/>
      <c r="O42" s="17" t="s">
        <v>1232</v>
      </c>
      <c r="P42" s="31">
        <v>969117</v>
      </c>
    </row>
    <row r="43" spans="1:16" ht="15.95" customHeight="1">
      <c r="A43" s="8" t="s">
        <v>22</v>
      </c>
      <c r="B43" s="8" t="s">
        <v>16</v>
      </c>
      <c r="C43" s="10" t="s">
        <v>18</v>
      </c>
      <c r="D43" s="8" t="s">
        <v>18</v>
      </c>
      <c r="E43" s="7" t="str">
        <f t="shared" si="0"/>
        <v>05020303</v>
      </c>
      <c r="F43" s="1" t="s">
        <v>1223</v>
      </c>
      <c r="G43" s="1" t="str">
        <f t="shared" si="4"/>
        <v>抽屉02立铣刀</v>
      </c>
      <c r="H43" t="str">
        <f t="shared" si="3"/>
        <v>行号03</v>
      </c>
      <c r="I43" s="1" t="str">
        <f t="shared" si="1"/>
        <v>序号03</v>
      </c>
      <c r="J43" s="36" t="s">
        <v>892</v>
      </c>
      <c r="K43" s="39">
        <v>0</v>
      </c>
      <c r="L43" s="39">
        <v>10</v>
      </c>
      <c r="M43" s="39"/>
      <c r="N43" s="39"/>
      <c r="O43" s="17" t="s">
        <v>1232</v>
      </c>
    </row>
    <row r="44" spans="1:16" ht="15.95" customHeight="1">
      <c r="A44" s="8" t="s">
        <v>22</v>
      </c>
      <c r="B44" s="8" t="s">
        <v>16</v>
      </c>
      <c r="C44" s="10" t="s">
        <v>18</v>
      </c>
      <c r="D44" s="8" t="s">
        <v>20</v>
      </c>
      <c r="E44" s="7" t="str">
        <f t="shared" si="0"/>
        <v>05020304</v>
      </c>
      <c r="F44" s="1" t="s">
        <v>1223</v>
      </c>
      <c r="G44" s="1" t="str">
        <f t="shared" si="4"/>
        <v>抽屉02立铣刀</v>
      </c>
      <c r="H44" t="str">
        <f t="shared" si="3"/>
        <v>行号03</v>
      </c>
      <c r="I44" s="1" t="str">
        <f t="shared" si="1"/>
        <v>序号04</v>
      </c>
      <c r="J44" s="36" t="s">
        <v>893</v>
      </c>
      <c r="K44" s="39">
        <v>0</v>
      </c>
      <c r="L44" s="39">
        <v>10</v>
      </c>
      <c r="M44" s="39"/>
      <c r="N44" s="39"/>
      <c r="O44" s="17" t="s">
        <v>1232</v>
      </c>
    </row>
    <row r="45" spans="1:16" ht="15.95" customHeight="1">
      <c r="A45" s="8" t="s">
        <v>22</v>
      </c>
      <c r="B45" s="8" t="s">
        <v>16</v>
      </c>
      <c r="C45" s="10" t="s">
        <v>18</v>
      </c>
      <c r="D45" s="8" t="s">
        <v>22</v>
      </c>
      <c r="E45" s="7" t="str">
        <f t="shared" si="0"/>
        <v>05020305</v>
      </c>
      <c r="F45" s="1" t="s">
        <v>1223</v>
      </c>
      <c r="G45" s="1" t="str">
        <f t="shared" si="4"/>
        <v>抽屉02立铣刀</v>
      </c>
      <c r="H45" t="str">
        <f t="shared" si="3"/>
        <v>行号03</v>
      </c>
      <c r="I45" s="1" t="str">
        <f t="shared" si="1"/>
        <v>序号05</v>
      </c>
      <c r="J45" s="36" t="s">
        <v>894</v>
      </c>
      <c r="K45" s="39">
        <v>0</v>
      </c>
      <c r="L45" s="39">
        <v>10</v>
      </c>
      <c r="M45" s="39"/>
      <c r="N45" s="39"/>
      <c r="O45" s="17" t="s">
        <v>1232</v>
      </c>
    </row>
    <row r="46" spans="1:16" ht="15.95" customHeight="1">
      <c r="A46" s="8" t="s">
        <v>22</v>
      </c>
      <c r="B46" s="8" t="s">
        <v>16</v>
      </c>
      <c r="C46" s="10" t="s">
        <v>18</v>
      </c>
      <c r="D46" s="8" t="s">
        <v>24</v>
      </c>
      <c r="E46" s="7" t="str">
        <f t="shared" si="0"/>
        <v>05020306</v>
      </c>
      <c r="F46" s="1" t="s">
        <v>1223</v>
      </c>
      <c r="G46" s="1" t="str">
        <f t="shared" si="4"/>
        <v>抽屉02立铣刀</v>
      </c>
      <c r="H46" t="str">
        <f t="shared" si="3"/>
        <v>行号03</v>
      </c>
      <c r="I46" s="1" t="str">
        <f t="shared" si="1"/>
        <v>序号06</v>
      </c>
      <c r="J46" s="36" t="s">
        <v>895</v>
      </c>
      <c r="K46" s="39">
        <v>0</v>
      </c>
      <c r="L46" s="39">
        <v>10</v>
      </c>
      <c r="M46" s="39"/>
      <c r="N46" s="39"/>
      <c r="O46" s="17" t="s">
        <v>1265</v>
      </c>
    </row>
    <row r="47" spans="1:16" ht="15.95" customHeight="1">
      <c r="A47" s="8" t="s">
        <v>22</v>
      </c>
      <c r="B47" s="8" t="s">
        <v>16</v>
      </c>
      <c r="C47" s="10" t="s">
        <v>18</v>
      </c>
      <c r="D47" s="8" t="s">
        <v>26</v>
      </c>
      <c r="E47" s="7" t="str">
        <f t="shared" si="0"/>
        <v>05020307</v>
      </c>
      <c r="F47" s="1" t="s">
        <v>1223</v>
      </c>
      <c r="G47" s="1" t="str">
        <f t="shared" si="4"/>
        <v>抽屉02立铣刀</v>
      </c>
      <c r="H47" t="str">
        <f t="shared" si="3"/>
        <v>行号03</v>
      </c>
      <c r="I47" s="1" t="str">
        <f t="shared" si="1"/>
        <v>序号07</v>
      </c>
      <c r="J47" s="36" t="s">
        <v>896</v>
      </c>
      <c r="K47" s="39">
        <v>0</v>
      </c>
      <c r="L47" s="39">
        <v>10</v>
      </c>
      <c r="M47" s="39"/>
      <c r="N47" s="39"/>
      <c r="O47" s="17" t="s">
        <v>1263</v>
      </c>
    </row>
    <row r="48" spans="1:16" ht="15.95" customHeight="1">
      <c r="A48" s="8" t="s">
        <v>22</v>
      </c>
      <c r="B48" s="8" t="s">
        <v>16</v>
      </c>
      <c r="C48" s="10" t="s">
        <v>18</v>
      </c>
      <c r="D48" s="8" t="s">
        <v>28</v>
      </c>
      <c r="E48" s="7" t="str">
        <f t="shared" si="0"/>
        <v>05020308</v>
      </c>
      <c r="F48" s="1" t="s">
        <v>1223</v>
      </c>
      <c r="G48" s="1" t="str">
        <f t="shared" si="4"/>
        <v>抽屉02立铣刀</v>
      </c>
      <c r="H48" t="str">
        <f t="shared" si="3"/>
        <v>行号03</v>
      </c>
      <c r="I48" s="1" t="str">
        <f t="shared" si="1"/>
        <v>序号08</v>
      </c>
      <c r="J48" s="38"/>
      <c r="K48" s="41"/>
      <c r="L48" s="41"/>
      <c r="M48" s="41">
        <v>0</v>
      </c>
      <c r="N48" s="41">
        <v>0</v>
      </c>
    </row>
    <row r="49" spans="1:15" ht="15.95" customHeight="1">
      <c r="A49" s="8" t="s">
        <v>22</v>
      </c>
      <c r="B49" s="8" t="s">
        <v>16</v>
      </c>
      <c r="C49" s="8" t="s">
        <v>20</v>
      </c>
      <c r="D49" s="11" t="s">
        <v>14</v>
      </c>
      <c r="E49" s="7" t="str">
        <f t="shared" si="0"/>
        <v>05020401</v>
      </c>
      <c r="F49" s="1" t="s">
        <v>1223</v>
      </c>
      <c r="G49" s="1" t="str">
        <f t="shared" si="4"/>
        <v>抽屉02立铣刀</v>
      </c>
      <c r="H49" t="str">
        <f t="shared" si="3"/>
        <v>行号04</v>
      </c>
      <c r="I49" s="1" t="str">
        <f t="shared" si="1"/>
        <v>序号01</v>
      </c>
      <c r="J49" t="s">
        <v>897</v>
      </c>
      <c r="K49" s="39">
        <v>0</v>
      </c>
      <c r="L49" s="39">
        <v>10</v>
      </c>
      <c r="M49" s="39"/>
      <c r="N49" s="39"/>
      <c r="O49" s="17" t="s">
        <v>1263</v>
      </c>
    </row>
    <row r="50" spans="1:15" ht="15.95" customHeight="1">
      <c r="A50" s="8" t="s">
        <v>22</v>
      </c>
      <c r="B50" s="8" t="s">
        <v>16</v>
      </c>
      <c r="C50" s="8" t="s">
        <v>20</v>
      </c>
      <c r="D50" s="11" t="s">
        <v>28</v>
      </c>
      <c r="E50" s="7" t="str">
        <f t="shared" si="0"/>
        <v>05020408</v>
      </c>
      <c r="F50" s="1" t="s">
        <v>1223</v>
      </c>
      <c r="G50" s="1" t="str">
        <f>"抽屉"&amp;B50&amp;"立铣刀"</f>
        <v>抽屉02立铣刀</v>
      </c>
      <c r="H50" t="str">
        <f t="shared" si="3"/>
        <v>行号04</v>
      </c>
      <c r="I50" s="1" t="str">
        <f t="shared" si="1"/>
        <v>序号08</v>
      </c>
      <c r="J50" s="38"/>
      <c r="K50" s="41"/>
      <c r="L50" s="41"/>
      <c r="M50" s="41">
        <v>0</v>
      </c>
      <c r="N50" s="41">
        <v>0</v>
      </c>
    </row>
    <row r="51" spans="1:15" ht="15.95" customHeight="1">
      <c r="A51" s="8" t="s">
        <v>22</v>
      </c>
      <c r="B51" s="9" t="s">
        <v>18</v>
      </c>
      <c r="C51" s="10" t="s">
        <v>14</v>
      </c>
      <c r="D51" s="8" t="s">
        <v>14</v>
      </c>
      <c r="E51" s="7" t="str">
        <f t="shared" si="0"/>
        <v>05030101</v>
      </c>
      <c r="F51" s="1" t="s">
        <v>1223</v>
      </c>
      <c r="G51" s="1" t="str">
        <f>"抽屉"&amp;B51&amp;"立铣刀"</f>
        <v>抽屉03立铣刀</v>
      </c>
      <c r="H51" t="str">
        <f t="shared" si="3"/>
        <v>行号01</v>
      </c>
      <c r="I51" s="1" t="str">
        <f t="shared" si="1"/>
        <v>序号01</v>
      </c>
      <c r="J51" s="36" t="s">
        <v>905</v>
      </c>
      <c r="K51" s="39">
        <v>0</v>
      </c>
      <c r="L51" s="39">
        <v>10</v>
      </c>
      <c r="M51" s="39"/>
      <c r="N51" s="39"/>
      <c r="O51" s="17" t="s">
        <v>1263</v>
      </c>
    </row>
    <row r="52" spans="1:15" ht="15.95" customHeight="1">
      <c r="A52" s="8" t="s">
        <v>22</v>
      </c>
      <c r="B52" s="9" t="s">
        <v>18</v>
      </c>
      <c r="C52" s="10" t="s">
        <v>14</v>
      </c>
      <c r="D52" s="8" t="s">
        <v>16</v>
      </c>
      <c r="E52" s="7" t="str">
        <f t="shared" si="0"/>
        <v>05030102</v>
      </c>
      <c r="F52" s="1" t="s">
        <v>1223</v>
      </c>
      <c r="G52" s="1" t="str">
        <f t="shared" ref="G52:G63" si="5">"抽屉"&amp;B52&amp;"立铣刀"</f>
        <v>抽屉03立铣刀</v>
      </c>
      <c r="H52" t="str">
        <f t="shared" si="3"/>
        <v>行号01</v>
      </c>
      <c r="I52" s="1" t="str">
        <f t="shared" si="1"/>
        <v>序号02</v>
      </c>
      <c r="J52" s="36" t="s">
        <v>906</v>
      </c>
      <c r="K52" s="39">
        <v>0</v>
      </c>
      <c r="L52" s="39">
        <v>10</v>
      </c>
      <c r="M52" s="39"/>
      <c r="N52" s="39"/>
      <c r="O52" s="17" t="s">
        <v>1263</v>
      </c>
    </row>
    <row r="53" spans="1:15" ht="15.95" customHeight="1">
      <c r="A53" s="8" t="s">
        <v>22</v>
      </c>
      <c r="B53" s="9" t="s">
        <v>18</v>
      </c>
      <c r="C53" s="10" t="s">
        <v>14</v>
      </c>
      <c r="D53" s="8" t="s">
        <v>18</v>
      </c>
      <c r="E53" s="7" t="str">
        <f t="shared" si="0"/>
        <v>05030103</v>
      </c>
      <c r="F53" s="1" t="s">
        <v>1223</v>
      </c>
      <c r="G53" s="1" t="str">
        <f t="shared" si="5"/>
        <v>抽屉03立铣刀</v>
      </c>
      <c r="H53" t="str">
        <f t="shared" si="3"/>
        <v>行号01</v>
      </c>
      <c r="I53" s="1" t="str">
        <f t="shared" si="1"/>
        <v>序号03</v>
      </c>
      <c r="J53" s="36" t="s">
        <v>907</v>
      </c>
      <c r="K53" s="39">
        <v>0</v>
      </c>
      <c r="L53" s="39">
        <v>10</v>
      </c>
      <c r="M53" s="39"/>
      <c r="N53" s="39"/>
      <c r="O53" s="17" t="s">
        <v>1263</v>
      </c>
    </row>
    <row r="54" spans="1:15" ht="15.95" customHeight="1">
      <c r="A54" s="8" t="s">
        <v>22</v>
      </c>
      <c r="B54" s="9" t="s">
        <v>18</v>
      </c>
      <c r="C54" s="10" t="s">
        <v>14</v>
      </c>
      <c r="D54" s="8" t="s">
        <v>20</v>
      </c>
      <c r="E54" s="7" t="str">
        <f t="shared" si="0"/>
        <v>05030104</v>
      </c>
      <c r="F54" s="1" t="s">
        <v>1223</v>
      </c>
      <c r="G54" s="1" t="str">
        <f t="shared" si="5"/>
        <v>抽屉03立铣刀</v>
      </c>
      <c r="H54" t="str">
        <f t="shared" si="3"/>
        <v>行号01</v>
      </c>
      <c r="I54" s="1" t="str">
        <f t="shared" si="1"/>
        <v>序号04</v>
      </c>
      <c r="J54" s="36" t="s">
        <v>908</v>
      </c>
      <c r="K54" s="39">
        <v>0</v>
      </c>
      <c r="L54" s="39">
        <v>10</v>
      </c>
      <c r="M54" s="39"/>
      <c r="N54" s="39"/>
      <c r="O54" s="17" t="s">
        <v>1263</v>
      </c>
    </row>
    <row r="55" spans="1:15" ht="15.95" customHeight="1">
      <c r="A55" s="8" t="s">
        <v>22</v>
      </c>
      <c r="B55" s="9" t="s">
        <v>18</v>
      </c>
      <c r="C55" s="10" t="s">
        <v>14</v>
      </c>
      <c r="D55" s="8" t="s">
        <v>22</v>
      </c>
      <c r="E55" s="7" t="str">
        <f t="shared" si="0"/>
        <v>05030105</v>
      </c>
      <c r="F55" s="1" t="s">
        <v>1223</v>
      </c>
      <c r="G55" s="1" t="str">
        <f t="shared" si="5"/>
        <v>抽屉03立铣刀</v>
      </c>
      <c r="H55" t="str">
        <f t="shared" si="3"/>
        <v>行号01</v>
      </c>
      <c r="I55" s="1" t="str">
        <f t="shared" si="1"/>
        <v>序号05</v>
      </c>
      <c r="J55" s="36" t="s">
        <v>909</v>
      </c>
      <c r="K55" s="39">
        <v>0</v>
      </c>
      <c r="L55" s="39">
        <v>8</v>
      </c>
      <c r="M55" s="39"/>
      <c r="N55" s="39"/>
      <c r="O55" s="17" t="s">
        <v>1232</v>
      </c>
    </row>
    <row r="56" spans="1:15" ht="15.95" customHeight="1">
      <c r="A56" s="8" t="s">
        <v>22</v>
      </c>
      <c r="B56" s="9" t="s">
        <v>18</v>
      </c>
      <c r="C56" s="10" t="s">
        <v>14</v>
      </c>
      <c r="D56" s="8" t="s">
        <v>24</v>
      </c>
      <c r="E56" s="7" t="str">
        <f t="shared" si="0"/>
        <v>05030106</v>
      </c>
      <c r="F56" s="1" t="s">
        <v>1223</v>
      </c>
      <c r="G56" s="1" t="str">
        <f t="shared" si="5"/>
        <v>抽屉03立铣刀</v>
      </c>
      <c r="H56" t="str">
        <f t="shared" si="3"/>
        <v>行号01</v>
      </c>
      <c r="I56" s="1" t="str">
        <f t="shared" si="1"/>
        <v>序号06</v>
      </c>
      <c r="J56" s="36" t="s">
        <v>910</v>
      </c>
      <c r="K56" s="39">
        <v>0</v>
      </c>
      <c r="L56" s="39">
        <v>8</v>
      </c>
      <c r="M56" s="39"/>
      <c r="N56" s="39"/>
      <c r="O56" s="17" t="s">
        <v>1265</v>
      </c>
    </row>
    <row r="57" spans="1:15" ht="15.95" customHeight="1">
      <c r="A57" s="8" t="s">
        <v>22</v>
      </c>
      <c r="B57" s="9" t="s">
        <v>18</v>
      </c>
      <c r="C57" s="10" t="s">
        <v>14</v>
      </c>
      <c r="D57" s="8" t="s">
        <v>26</v>
      </c>
      <c r="E57" s="7" t="str">
        <f t="shared" si="0"/>
        <v>05030107</v>
      </c>
      <c r="F57" s="1" t="s">
        <v>1223</v>
      </c>
      <c r="G57" s="1" t="str">
        <f t="shared" si="5"/>
        <v>抽屉03立铣刀</v>
      </c>
      <c r="H57" t="str">
        <f t="shared" si="3"/>
        <v>行号01</v>
      </c>
      <c r="I57" s="1" t="str">
        <f t="shared" si="1"/>
        <v>序号07</v>
      </c>
      <c r="J57" t="s">
        <v>911</v>
      </c>
      <c r="K57" s="39">
        <v>0</v>
      </c>
      <c r="L57" s="39">
        <v>8</v>
      </c>
      <c r="M57" s="39"/>
      <c r="N57" s="39"/>
      <c r="O57" s="17" t="s">
        <v>1265</v>
      </c>
    </row>
    <row r="58" spans="1:15" ht="15.95" customHeight="1">
      <c r="A58" s="8" t="s">
        <v>22</v>
      </c>
      <c r="B58" s="9" t="s">
        <v>18</v>
      </c>
      <c r="C58" s="10" t="s">
        <v>14</v>
      </c>
      <c r="D58" s="8" t="s">
        <v>28</v>
      </c>
      <c r="E58" s="7" t="str">
        <f t="shared" si="0"/>
        <v>05030108</v>
      </c>
      <c r="F58" s="1" t="s">
        <v>1223</v>
      </c>
      <c r="G58" s="1" t="str">
        <f t="shared" si="5"/>
        <v>抽屉03立铣刀</v>
      </c>
      <c r="H58" t="str">
        <f t="shared" si="3"/>
        <v>行号01</v>
      </c>
      <c r="I58" s="1" t="str">
        <f t="shared" si="1"/>
        <v>序号08</v>
      </c>
      <c r="J58" s="36" t="s">
        <v>912</v>
      </c>
      <c r="K58" s="39">
        <v>0</v>
      </c>
      <c r="L58" s="39">
        <v>8</v>
      </c>
      <c r="M58" s="39"/>
      <c r="N58" s="39"/>
      <c r="O58" s="17" t="s">
        <v>1265</v>
      </c>
    </row>
    <row r="59" spans="1:15" ht="15.95" customHeight="1">
      <c r="A59" s="8" t="s">
        <v>22</v>
      </c>
      <c r="B59" s="9" t="s">
        <v>18</v>
      </c>
      <c r="C59" s="8" t="s">
        <v>16</v>
      </c>
      <c r="D59" s="11" t="s">
        <v>14</v>
      </c>
      <c r="E59" s="7" t="str">
        <f t="shared" si="0"/>
        <v>05030201</v>
      </c>
      <c r="F59" s="1" t="s">
        <v>1223</v>
      </c>
      <c r="G59" s="1" t="str">
        <f t="shared" si="5"/>
        <v>抽屉03立铣刀</v>
      </c>
      <c r="H59" t="str">
        <f t="shared" si="3"/>
        <v>行号02</v>
      </c>
      <c r="I59" s="1" t="str">
        <f t="shared" si="1"/>
        <v>序号01</v>
      </c>
      <c r="J59" s="36" t="s">
        <v>913</v>
      </c>
      <c r="K59" s="39">
        <v>0</v>
      </c>
      <c r="L59" s="39">
        <v>10</v>
      </c>
      <c r="M59" s="39"/>
      <c r="N59" s="39"/>
      <c r="O59" s="17" t="s">
        <v>1266</v>
      </c>
    </row>
    <row r="60" spans="1:15" ht="15.95" customHeight="1">
      <c r="A60" s="8" t="s">
        <v>22</v>
      </c>
      <c r="B60" s="9" t="s">
        <v>18</v>
      </c>
      <c r="C60" s="8" t="s">
        <v>16</v>
      </c>
      <c r="D60" s="11" t="s">
        <v>18</v>
      </c>
      <c r="E60" s="7" t="str">
        <f t="shared" si="0"/>
        <v>05030203</v>
      </c>
      <c r="F60" s="1" t="s">
        <v>1223</v>
      </c>
      <c r="G60" s="1" t="str">
        <f t="shared" si="5"/>
        <v>抽屉03立铣刀</v>
      </c>
      <c r="H60" t="str">
        <f t="shared" si="3"/>
        <v>行号02</v>
      </c>
      <c r="I60" s="1" t="str">
        <f t="shared" si="1"/>
        <v>序号03</v>
      </c>
      <c r="J60" s="36" t="s">
        <v>915</v>
      </c>
      <c r="K60" s="39">
        <v>0</v>
      </c>
      <c r="L60" s="39">
        <v>10</v>
      </c>
      <c r="M60" s="39"/>
      <c r="N60" s="39"/>
      <c r="O60" s="17" t="s">
        <v>1244</v>
      </c>
    </row>
    <row r="61" spans="1:15" ht="15.95" customHeight="1">
      <c r="A61" s="8" t="s">
        <v>22</v>
      </c>
      <c r="B61" s="9" t="s">
        <v>18</v>
      </c>
      <c r="C61" s="8" t="s">
        <v>16</v>
      </c>
      <c r="D61" s="11" t="s">
        <v>24</v>
      </c>
      <c r="E61" s="7" t="str">
        <f t="shared" si="0"/>
        <v>05030206</v>
      </c>
      <c r="F61" s="1" t="s">
        <v>1223</v>
      </c>
      <c r="G61" s="1" t="str">
        <f t="shared" si="5"/>
        <v>抽屉03立铣刀</v>
      </c>
      <c r="H61" t="str">
        <f t="shared" si="3"/>
        <v>行号02</v>
      </c>
      <c r="I61" s="1" t="str">
        <f t="shared" si="1"/>
        <v>序号06</v>
      </c>
      <c r="J61" s="36" t="s">
        <v>916</v>
      </c>
      <c r="K61" s="39">
        <v>0</v>
      </c>
      <c r="L61" s="39">
        <v>10</v>
      </c>
      <c r="M61" s="39"/>
      <c r="N61" s="39"/>
      <c r="O61" s="17" t="s">
        <v>1265</v>
      </c>
    </row>
    <row r="62" spans="1:15" ht="15.95" customHeight="1">
      <c r="A62" s="8" t="s">
        <v>22</v>
      </c>
      <c r="B62" s="9" t="s">
        <v>18</v>
      </c>
      <c r="C62" s="8" t="s">
        <v>16</v>
      </c>
      <c r="D62" s="11" t="s">
        <v>26</v>
      </c>
      <c r="E62" s="7" t="str">
        <f t="shared" si="0"/>
        <v>05030207</v>
      </c>
      <c r="F62" s="1" t="s">
        <v>1223</v>
      </c>
      <c r="G62" s="1" t="str">
        <f t="shared" si="5"/>
        <v>抽屉03立铣刀</v>
      </c>
      <c r="H62" t="str">
        <f t="shared" si="3"/>
        <v>行号02</v>
      </c>
      <c r="I62" s="1" t="str">
        <f t="shared" si="1"/>
        <v>序号07</v>
      </c>
      <c r="J62" s="36" t="s">
        <v>917</v>
      </c>
      <c r="K62" s="39">
        <v>0</v>
      </c>
      <c r="L62" s="39">
        <v>10</v>
      </c>
      <c r="M62" s="39"/>
      <c r="N62" s="39"/>
      <c r="O62" s="17" t="s">
        <v>1265</v>
      </c>
    </row>
    <row r="63" spans="1:15" ht="15.95" customHeight="1">
      <c r="A63" s="8" t="s">
        <v>22</v>
      </c>
      <c r="B63" s="9" t="s">
        <v>18</v>
      </c>
      <c r="C63" s="8" t="s">
        <v>16</v>
      </c>
      <c r="D63" s="11" t="s">
        <v>28</v>
      </c>
      <c r="E63" s="7" t="str">
        <f t="shared" si="0"/>
        <v>05030208</v>
      </c>
      <c r="F63" s="1" t="s">
        <v>1223</v>
      </c>
      <c r="G63" s="1" t="str">
        <f t="shared" si="5"/>
        <v>抽屉03立铣刀</v>
      </c>
      <c r="H63" t="str">
        <f t="shared" si="3"/>
        <v>行号02</v>
      </c>
      <c r="I63" s="1" t="str">
        <f t="shared" si="1"/>
        <v>序号08</v>
      </c>
      <c r="J63" s="38"/>
      <c r="K63" s="41"/>
      <c r="L63" s="41"/>
      <c r="M63" s="41">
        <v>0</v>
      </c>
      <c r="N63" s="41">
        <v>0</v>
      </c>
    </row>
    <row r="64" spans="1:15" ht="15.95" customHeight="1">
      <c r="A64" s="8" t="s">
        <v>22</v>
      </c>
      <c r="B64" s="8" t="s">
        <v>20</v>
      </c>
      <c r="C64" s="10" t="s">
        <v>14</v>
      </c>
      <c r="D64" s="8" t="s">
        <v>14</v>
      </c>
      <c r="E64" s="7" t="str">
        <f t="shared" si="0"/>
        <v>05040101</v>
      </c>
      <c r="F64" s="1" t="s">
        <v>1223</v>
      </c>
      <c r="G64" s="1" t="str">
        <f>"抽屉"&amp;B64&amp;"立铣刀"</f>
        <v>抽屉04立铣刀</v>
      </c>
      <c r="H64" t="str">
        <f t="shared" si="3"/>
        <v>行号01</v>
      </c>
      <c r="I64" s="1" t="str">
        <f t="shared" si="1"/>
        <v>序号01</v>
      </c>
      <c r="J64" s="36" t="s">
        <v>931</v>
      </c>
      <c r="K64" s="39">
        <v>0</v>
      </c>
      <c r="L64" s="39">
        <v>10</v>
      </c>
      <c r="M64" s="39"/>
      <c r="N64" s="39"/>
      <c r="O64" s="17" t="s">
        <v>1263</v>
      </c>
    </row>
    <row r="65" spans="1:16" ht="15.95" customHeight="1">
      <c r="A65" s="8" t="s">
        <v>22</v>
      </c>
      <c r="B65" s="8" t="s">
        <v>20</v>
      </c>
      <c r="C65" s="10" t="s">
        <v>14</v>
      </c>
      <c r="D65" s="8" t="s">
        <v>16</v>
      </c>
      <c r="E65" s="7" t="str">
        <f t="shared" si="0"/>
        <v>05040102</v>
      </c>
      <c r="F65" s="1" t="s">
        <v>1223</v>
      </c>
      <c r="G65" s="1" t="str">
        <f t="shared" ref="G65:G84" si="6">"抽屉"&amp;B65&amp;"立铣刀"</f>
        <v>抽屉04立铣刀</v>
      </c>
      <c r="H65" t="str">
        <f t="shared" si="3"/>
        <v>行号01</v>
      </c>
      <c r="I65" s="1" t="str">
        <f t="shared" si="1"/>
        <v>序号02</v>
      </c>
      <c r="J65" t="s">
        <v>932</v>
      </c>
      <c r="K65" s="39">
        <v>0</v>
      </c>
      <c r="L65" s="39">
        <v>10</v>
      </c>
      <c r="M65" s="39"/>
      <c r="N65" s="39"/>
      <c r="O65" s="17" t="s">
        <v>1263</v>
      </c>
    </row>
    <row r="66" spans="1:16" ht="15.95" customHeight="1">
      <c r="A66" s="8" t="s">
        <v>22</v>
      </c>
      <c r="B66" s="8" t="s">
        <v>20</v>
      </c>
      <c r="C66" s="10" t="s">
        <v>14</v>
      </c>
      <c r="D66" s="8" t="s">
        <v>18</v>
      </c>
      <c r="E66" s="7" t="str">
        <f t="shared" ref="E66:E129" si="7">A66&amp;B66&amp;C66&amp;D66</f>
        <v>05040103</v>
      </c>
      <c r="F66" s="1" t="s">
        <v>1223</v>
      </c>
      <c r="G66" s="1" t="str">
        <f t="shared" si="6"/>
        <v>抽屉04立铣刀</v>
      </c>
      <c r="H66" t="str">
        <f t="shared" ref="H66:H129" si="8">"行号"&amp;C66</f>
        <v>行号01</v>
      </c>
      <c r="I66" s="1" t="str">
        <f t="shared" ref="I66:I129" si="9">"序号"&amp;D66</f>
        <v>序号03</v>
      </c>
      <c r="J66" s="36" t="s">
        <v>933</v>
      </c>
      <c r="K66" s="39">
        <v>0</v>
      </c>
      <c r="L66" s="39">
        <v>10</v>
      </c>
      <c r="M66" s="39"/>
      <c r="N66" s="39"/>
      <c r="O66" s="17" t="s">
        <v>1263</v>
      </c>
    </row>
    <row r="67" spans="1:16" ht="15.95" customHeight="1">
      <c r="A67" s="8" t="s">
        <v>22</v>
      </c>
      <c r="B67" s="8" t="s">
        <v>20</v>
      </c>
      <c r="C67" s="10" t="s">
        <v>14</v>
      </c>
      <c r="D67" s="8" t="s">
        <v>20</v>
      </c>
      <c r="E67" s="7" t="str">
        <f t="shared" si="7"/>
        <v>05040104</v>
      </c>
      <c r="F67" s="1" t="s">
        <v>1223</v>
      </c>
      <c r="G67" s="1" t="str">
        <f t="shared" si="6"/>
        <v>抽屉04立铣刀</v>
      </c>
      <c r="H67" t="str">
        <f t="shared" si="8"/>
        <v>行号01</v>
      </c>
      <c r="I67" s="1" t="str">
        <f t="shared" si="9"/>
        <v>序号04</v>
      </c>
      <c r="J67" s="36" t="s">
        <v>931</v>
      </c>
      <c r="K67" s="39">
        <v>0</v>
      </c>
      <c r="L67" s="39">
        <v>10</v>
      </c>
      <c r="M67" s="39"/>
      <c r="N67" s="39"/>
      <c r="O67" s="17" t="s">
        <v>1263</v>
      </c>
    </row>
    <row r="68" spans="1:16" ht="15.95" customHeight="1">
      <c r="A68" s="8" t="s">
        <v>22</v>
      </c>
      <c r="B68" s="8" t="s">
        <v>20</v>
      </c>
      <c r="C68" s="10" t="s">
        <v>14</v>
      </c>
      <c r="D68" s="8" t="s">
        <v>22</v>
      </c>
      <c r="E68" s="7" t="str">
        <f t="shared" si="7"/>
        <v>05040105</v>
      </c>
      <c r="F68" s="1" t="s">
        <v>1223</v>
      </c>
      <c r="G68" s="1" t="str">
        <f t="shared" si="6"/>
        <v>抽屉04立铣刀</v>
      </c>
      <c r="H68" t="str">
        <f t="shared" si="8"/>
        <v>行号01</v>
      </c>
      <c r="I68" s="1" t="str">
        <f t="shared" si="9"/>
        <v>序号05</v>
      </c>
      <c r="J68" s="36" t="s">
        <v>934</v>
      </c>
      <c r="K68" s="39">
        <v>0</v>
      </c>
      <c r="L68" s="39">
        <v>10</v>
      </c>
      <c r="M68" s="39"/>
      <c r="N68" s="39"/>
      <c r="O68" s="17" t="s">
        <v>1263</v>
      </c>
    </row>
    <row r="69" spans="1:16" ht="15.95" customHeight="1">
      <c r="A69" s="8" t="s">
        <v>22</v>
      </c>
      <c r="B69" s="8" t="s">
        <v>20</v>
      </c>
      <c r="C69" s="10" t="s">
        <v>14</v>
      </c>
      <c r="D69" s="8" t="s">
        <v>24</v>
      </c>
      <c r="E69" s="7" t="str">
        <f t="shared" si="7"/>
        <v>05040106</v>
      </c>
      <c r="F69" s="1" t="s">
        <v>1223</v>
      </c>
      <c r="G69" s="1" t="str">
        <f t="shared" si="6"/>
        <v>抽屉04立铣刀</v>
      </c>
      <c r="H69" t="str">
        <f t="shared" si="8"/>
        <v>行号01</v>
      </c>
      <c r="I69" s="1" t="str">
        <f t="shared" si="9"/>
        <v>序号06</v>
      </c>
      <c r="J69" s="36" t="s">
        <v>935</v>
      </c>
      <c r="K69" s="39">
        <v>0</v>
      </c>
      <c r="L69" s="39">
        <v>10</v>
      </c>
      <c r="M69" s="39"/>
      <c r="N69" s="39"/>
      <c r="O69" s="17" t="s">
        <v>1265</v>
      </c>
    </row>
    <row r="70" spans="1:16" ht="15.95" customHeight="1">
      <c r="A70" s="8" t="s">
        <v>22</v>
      </c>
      <c r="B70" s="8" t="s">
        <v>20</v>
      </c>
      <c r="C70" s="10" t="s">
        <v>14</v>
      </c>
      <c r="D70" s="8" t="s">
        <v>26</v>
      </c>
      <c r="E70" s="7" t="str">
        <f t="shared" si="7"/>
        <v>05040107</v>
      </c>
      <c r="F70" s="1" t="s">
        <v>1223</v>
      </c>
      <c r="G70" s="1" t="str">
        <f t="shared" si="6"/>
        <v>抽屉04立铣刀</v>
      </c>
      <c r="H70" t="str">
        <f t="shared" si="8"/>
        <v>行号01</v>
      </c>
      <c r="I70" s="1" t="str">
        <f t="shared" si="9"/>
        <v>序号07</v>
      </c>
      <c r="J70" s="36" t="s">
        <v>936</v>
      </c>
      <c r="K70" s="39">
        <v>0</v>
      </c>
      <c r="L70" s="39">
        <v>10</v>
      </c>
      <c r="M70" s="39"/>
      <c r="N70" s="39"/>
      <c r="O70" s="17" t="s">
        <v>1265</v>
      </c>
    </row>
    <row r="71" spans="1:16" ht="15.95" customHeight="1">
      <c r="A71" s="8" t="s">
        <v>22</v>
      </c>
      <c r="B71" s="8" t="s">
        <v>20</v>
      </c>
      <c r="C71" s="10" t="s">
        <v>14</v>
      </c>
      <c r="D71" s="8" t="s">
        <v>28</v>
      </c>
      <c r="E71" s="7" t="str">
        <f t="shared" si="7"/>
        <v>05040108</v>
      </c>
      <c r="F71" s="1" t="s">
        <v>1223</v>
      </c>
      <c r="G71" s="1" t="str">
        <f t="shared" si="6"/>
        <v>抽屉04立铣刀</v>
      </c>
      <c r="H71" t="str">
        <f t="shared" si="8"/>
        <v>行号01</v>
      </c>
      <c r="I71" s="1" t="str">
        <f t="shared" si="9"/>
        <v>序号08</v>
      </c>
      <c r="J71" s="36" t="s">
        <v>937</v>
      </c>
      <c r="K71" s="39">
        <v>0</v>
      </c>
      <c r="L71" s="39">
        <v>10</v>
      </c>
      <c r="M71" s="39"/>
      <c r="N71" s="39"/>
      <c r="O71" s="17" t="s">
        <v>1263</v>
      </c>
      <c r="P71" s="31">
        <v>944779</v>
      </c>
    </row>
    <row r="72" spans="1:16" ht="15.95" customHeight="1">
      <c r="A72" s="8" t="s">
        <v>22</v>
      </c>
      <c r="B72" s="8" t="s">
        <v>20</v>
      </c>
      <c r="C72" s="8" t="s">
        <v>16</v>
      </c>
      <c r="D72" s="11" t="s">
        <v>14</v>
      </c>
      <c r="E72" s="7" t="str">
        <f t="shared" si="7"/>
        <v>05040201</v>
      </c>
      <c r="F72" s="1" t="s">
        <v>1223</v>
      </c>
      <c r="G72" s="1" t="str">
        <f t="shared" si="6"/>
        <v>抽屉04立铣刀</v>
      </c>
      <c r="H72" t="str">
        <f t="shared" si="8"/>
        <v>行号02</v>
      </c>
      <c r="I72" s="1" t="str">
        <f t="shared" si="9"/>
        <v>序号01</v>
      </c>
      <c r="J72" s="36" t="s">
        <v>938</v>
      </c>
      <c r="K72" s="39">
        <v>0</v>
      </c>
      <c r="L72" s="39">
        <v>10</v>
      </c>
      <c r="M72" s="39"/>
      <c r="N72" s="39"/>
      <c r="O72" s="17" t="s">
        <v>1263</v>
      </c>
    </row>
    <row r="73" spans="1:16" ht="15.95" customHeight="1">
      <c r="A73" s="8" t="s">
        <v>22</v>
      </c>
      <c r="B73" s="8" t="s">
        <v>20</v>
      </c>
      <c r="C73" s="8" t="s">
        <v>16</v>
      </c>
      <c r="D73" s="11" t="s">
        <v>16</v>
      </c>
      <c r="E73" s="7" t="str">
        <f t="shared" si="7"/>
        <v>05040202</v>
      </c>
      <c r="F73" s="1" t="s">
        <v>1223</v>
      </c>
      <c r="G73" s="1" t="str">
        <f t="shared" si="6"/>
        <v>抽屉04立铣刀</v>
      </c>
      <c r="H73" t="str">
        <f t="shared" si="8"/>
        <v>行号02</v>
      </c>
      <c r="I73" s="1" t="str">
        <f t="shared" si="9"/>
        <v>序号02</v>
      </c>
      <c r="J73" s="36" t="s">
        <v>939</v>
      </c>
      <c r="K73" s="39">
        <v>0</v>
      </c>
      <c r="L73" s="39">
        <v>10</v>
      </c>
      <c r="M73" s="39"/>
      <c r="N73" s="39"/>
      <c r="O73" s="17" t="s">
        <v>1263</v>
      </c>
    </row>
    <row r="74" spans="1:16">
      <c r="A74" s="8" t="s">
        <v>22</v>
      </c>
      <c r="B74" s="8" t="s">
        <v>20</v>
      </c>
      <c r="C74" s="8" t="s">
        <v>16</v>
      </c>
      <c r="D74" s="11" t="s">
        <v>18</v>
      </c>
      <c r="E74" s="7" t="str">
        <f t="shared" si="7"/>
        <v>05040203</v>
      </c>
      <c r="F74" s="1" t="s">
        <v>1223</v>
      </c>
      <c r="G74" s="1" t="str">
        <f t="shared" si="6"/>
        <v>抽屉04立铣刀</v>
      </c>
      <c r="H74" t="str">
        <f t="shared" si="8"/>
        <v>行号02</v>
      </c>
      <c r="I74" s="1" t="str">
        <f t="shared" si="9"/>
        <v>序号03</v>
      </c>
      <c r="J74" s="36" t="s">
        <v>940</v>
      </c>
      <c r="K74" s="39">
        <v>0</v>
      </c>
      <c r="L74" s="39">
        <v>10</v>
      </c>
      <c r="M74" s="39"/>
      <c r="N74" s="39"/>
      <c r="O74" s="17" t="s">
        <v>1265</v>
      </c>
    </row>
    <row r="75" spans="1:16">
      <c r="A75" s="8" t="s">
        <v>22</v>
      </c>
      <c r="B75" s="8" t="s">
        <v>20</v>
      </c>
      <c r="C75" s="8" t="s">
        <v>16</v>
      </c>
      <c r="D75" s="11" t="s">
        <v>20</v>
      </c>
      <c r="E75" s="7" t="str">
        <f t="shared" si="7"/>
        <v>05040204</v>
      </c>
      <c r="F75" s="1" t="s">
        <v>1223</v>
      </c>
      <c r="G75" s="1" t="str">
        <f t="shared" si="6"/>
        <v>抽屉04立铣刀</v>
      </c>
      <c r="H75" t="str">
        <f t="shared" si="8"/>
        <v>行号02</v>
      </c>
      <c r="I75" s="1" t="str">
        <f t="shared" si="9"/>
        <v>序号04</v>
      </c>
      <c r="J75" s="36" t="s">
        <v>941</v>
      </c>
      <c r="K75" s="39">
        <v>0</v>
      </c>
      <c r="L75" s="39">
        <v>10</v>
      </c>
      <c r="M75" s="39"/>
      <c r="N75" s="39"/>
      <c r="O75" s="17" t="s">
        <v>1263</v>
      </c>
      <c r="P75" s="31">
        <v>969481</v>
      </c>
    </row>
    <row r="76" spans="1:16">
      <c r="A76" s="8" t="s">
        <v>22</v>
      </c>
      <c r="B76" s="8" t="s">
        <v>20</v>
      </c>
      <c r="C76" s="8" t="s">
        <v>16</v>
      </c>
      <c r="D76" s="11" t="s">
        <v>22</v>
      </c>
      <c r="E76" s="7" t="str">
        <f t="shared" si="7"/>
        <v>05040205</v>
      </c>
      <c r="F76" s="1" t="s">
        <v>1223</v>
      </c>
      <c r="G76" s="1" t="str">
        <f t="shared" si="6"/>
        <v>抽屉04立铣刀</v>
      </c>
      <c r="H76" t="str">
        <f t="shared" si="8"/>
        <v>行号02</v>
      </c>
      <c r="I76" s="1" t="str">
        <f t="shared" si="9"/>
        <v>序号05</v>
      </c>
      <c r="J76" s="36" t="s">
        <v>942</v>
      </c>
      <c r="K76" s="39">
        <v>0</v>
      </c>
      <c r="L76" s="39">
        <v>8</v>
      </c>
      <c r="M76" s="39"/>
      <c r="N76" s="39"/>
      <c r="O76" s="17" t="s">
        <v>1263</v>
      </c>
    </row>
    <row r="77" spans="1:16">
      <c r="A77" s="8" t="s">
        <v>22</v>
      </c>
      <c r="B77" s="8" t="s">
        <v>20</v>
      </c>
      <c r="C77" s="8" t="s">
        <v>16</v>
      </c>
      <c r="D77" s="11" t="s">
        <v>24</v>
      </c>
      <c r="E77" s="7" t="str">
        <f t="shared" si="7"/>
        <v>05040206</v>
      </c>
      <c r="F77" s="1" t="s">
        <v>1223</v>
      </c>
      <c r="G77" s="1" t="str">
        <f t="shared" si="6"/>
        <v>抽屉04立铣刀</v>
      </c>
      <c r="H77" t="str">
        <f t="shared" si="8"/>
        <v>行号02</v>
      </c>
      <c r="I77" s="1" t="str">
        <f t="shared" si="9"/>
        <v>序号06</v>
      </c>
      <c r="J77" s="36" t="s">
        <v>943</v>
      </c>
      <c r="K77" s="39">
        <v>0</v>
      </c>
      <c r="L77" s="39">
        <v>8</v>
      </c>
      <c r="M77" s="39"/>
      <c r="N77" s="39"/>
      <c r="O77" s="17" t="s">
        <v>1263</v>
      </c>
    </row>
    <row r="78" spans="1:16">
      <c r="A78" s="8" t="s">
        <v>22</v>
      </c>
      <c r="B78" s="8" t="s">
        <v>20</v>
      </c>
      <c r="C78" s="8" t="s">
        <v>16</v>
      </c>
      <c r="D78" s="11" t="s">
        <v>26</v>
      </c>
      <c r="E78" s="7" t="str">
        <f t="shared" si="7"/>
        <v>05040207</v>
      </c>
      <c r="F78" s="1" t="s">
        <v>1223</v>
      </c>
      <c r="G78" s="1" t="str">
        <f t="shared" si="6"/>
        <v>抽屉04立铣刀</v>
      </c>
      <c r="H78" t="str">
        <f t="shared" si="8"/>
        <v>行号02</v>
      </c>
      <c r="I78" s="1" t="str">
        <f t="shared" si="9"/>
        <v>序号07</v>
      </c>
      <c r="J78" s="38"/>
      <c r="K78" s="41"/>
      <c r="L78" s="41"/>
      <c r="M78" s="41">
        <v>0</v>
      </c>
      <c r="N78" s="41">
        <v>0</v>
      </c>
    </row>
    <row r="79" spans="1:16">
      <c r="A79" s="8" t="s">
        <v>22</v>
      </c>
      <c r="B79" s="8" t="s">
        <v>20</v>
      </c>
      <c r="C79" s="8" t="s">
        <v>16</v>
      </c>
      <c r="D79" s="11" t="s">
        <v>28</v>
      </c>
      <c r="E79" s="7" t="str">
        <f t="shared" si="7"/>
        <v>05040208</v>
      </c>
      <c r="F79" s="1" t="s">
        <v>1223</v>
      </c>
      <c r="G79" s="1" t="str">
        <f t="shared" si="6"/>
        <v>抽屉04立铣刀</v>
      </c>
      <c r="H79" t="str">
        <f t="shared" si="8"/>
        <v>行号02</v>
      </c>
      <c r="I79" s="1" t="str">
        <f t="shared" si="9"/>
        <v>序号08</v>
      </c>
      <c r="J79" s="38"/>
      <c r="K79" s="41"/>
      <c r="L79" s="41"/>
      <c r="M79" s="41">
        <v>0</v>
      </c>
      <c r="N79" s="41">
        <v>0</v>
      </c>
    </row>
    <row r="80" spans="1:16">
      <c r="A80" s="8" t="s">
        <v>22</v>
      </c>
      <c r="B80" s="8" t="s">
        <v>20</v>
      </c>
      <c r="C80" s="10" t="s">
        <v>18</v>
      </c>
      <c r="D80" s="8" t="s">
        <v>14</v>
      </c>
      <c r="E80" s="7" t="str">
        <f t="shared" si="7"/>
        <v>05040301</v>
      </c>
      <c r="F80" s="1" t="s">
        <v>1223</v>
      </c>
      <c r="G80" s="1" t="str">
        <f t="shared" si="6"/>
        <v>抽屉04立铣刀</v>
      </c>
      <c r="H80" t="str">
        <f t="shared" si="8"/>
        <v>行号03</v>
      </c>
      <c r="I80" s="1" t="str">
        <f t="shared" si="9"/>
        <v>序号01</v>
      </c>
      <c r="J80" s="36" t="s">
        <v>944</v>
      </c>
      <c r="K80" s="39">
        <v>0</v>
      </c>
      <c r="L80" s="39">
        <v>8</v>
      </c>
      <c r="M80" s="39"/>
      <c r="N80" s="39"/>
      <c r="O80" s="17" t="s">
        <v>1263</v>
      </c>
    </row>
    <row r="81" spans="1:16">
      <c r="A81" s="8" t="s">
        <v>22</v>
      </c>
      <c r="B81" s="8" t="s">
        <v>20</v>
      </c>
      <c r="C81" s="10" t="s">
        <v>18</v>
      </c>
      <c r="D81" s="8" t="s">
        <v>16</v>
      </c>
      <c r="E81" s="7" t="str">
        <f t="shared" si="7"/>
        <v>05040302</v>
      </c>
      <c r="F81" s="1" t="s">
        <v>1223</v>
      </c>
      <c r="G81" s="1" t="str">
        <f t="shared" si="6"/>
        <v>抽屉04立铣刀</v>
      </c>
      <c r="H81" t="str">
        <f t="shared" si="8"/>
        <v>行号03</v>
      </c>
      <c r="I81" s="1" t="str">
        <f t="shared" si="9"/>
        <v>序号02</v>
      </c>
      <c r="J81" t="s">
        <v>945</v>
      </c>
      <c r="K81" s="39">
        <v>0</v>
      </c>
      <c r="L81" s="39">
        <v>8</v>
      </c>
      <c r="M81" s="39"/>
      <c r="N81" s="39"/>
      <c r="O81" s="17" t="s">
        <v>1263</v>
      </c>
    </row>
    <row r="82" spans="1:16">
      <c r="A82" s="8" t="s">
        <v>22</v>
      </c>
      <c r="B82" s="8" t="s">
        <v>20</v>
      </c>
      <c r="C82" s="10" t="s">
        <v>18</v>
      </c>
      <c r="D82" s="8" t="s">
        <v>18</v>
      </c>
      <c r="E82" s="7" t="str">
        <f t="shared" si="7"/>
        <v>05040303</v>
      </c>
      <c r="F82" s="1" t="s">
        <v>1223</v>
      </c>
      <c r="G82" s="1" t="str">
        <f t="shared" si="6"/>
        <v>抽屉04立铣刀</v>
      </c>
      <c r="H82" t="str">
        <f t="shared" si="8"/>
        <v>行号03</v>
      </c>
      <c r="I82" s="1" t="str">
        <f t="shared" si="9"/>
        <v>序号03</v>
      </c>
      <c r="J82" s="36" t="s">
        <v>946</v>
      </c>
      <c r="K82" s="39">
        <v>0</v>
      </c>
      <c r="L82" s="39">
        <v>8</v>
      </c>
      <c r="M82" s="39"/>
      <c r="N82" s="39"/>
      <c r="O82" s="17" t="s">
        <v>1265</v>
      </c>
    </row>
    <row r="83" spans="1:16">
      <c r="A83" s="8" t="s">
        <v>22</v>
      </c>
      <c r="B83" s="8" t="s">
        <v>20</v>
      </c>
      <c r="C83" s="10" t="s">
        <v>18</v>
      </c>
      <c r="D83" s="8" t="s">
        <v>20</v>
      </c>
      <c r="E83" s="7" t="str">
        <f t="shared" si="7"/>
        <v>05040304</v>
      </c>
      <c r="F83" s="1" t="s">
        <v>1223</v>
      </c>
      <c r="G83" s="1" t="str">
        <f t="shared" si="6"/>
        <v>抽屉04立铣刀</v>
      </c>
      <c r="H83" t="str">
        <f t="shared" si="8"/>
        <v>行号03</v>
      </c>
      <c r="I83" s="1" t="str">
        <f t="shared" si="9"/>
        <v>序号04</v>
      </c>
      <c r="J83" s="36" t="s">
        <v>947</v>
      </c>
      <c r="K83" s="39">
        <v>0</v>
      </c>
      <c r="L83" s="39">
        <v>8</v>
      </c>
      <c r="M83" s="39"/>
      <c r="N83" s="39"/>
      <c r="O83" s="17" t="s">
        <v>1232</v>
      </c>
    </row>
    <row r="84" spans="1:16">
      <c r="A84" s="8" t="s">
        <v>22</v>
      </c>
      <c r="B84" s="8" t="s">
        <v>20</v>
      </c>
      <c r="C84" s="8" t="s">
        <v>20</v>
      </c>
      <c r="D84" s="11" t="s">
        <v>16</v>
      </c>
      <c r="E84" s="7" t="str">
        <f t="shared" si="7"/>
        <v>05040402</v>
      </c>
      <c r="F84" s="1" t="s">
        <v>1223</v>
      </c>
      <c r="G84" s="1" t="str">
        <f t="shared" si="6"/>
        <v>抽屉04立铣刀</v>
      </c>
      <c r="H84" t="str">
        <f t="shared" si="8"/>
        <v>行号04</v>
      </c>
      <c r="I84" s="1" t="str">
        <f t="shared" si="9"/>
        <v>序号02</v>
      </c>
      <c r="J84" s="36" t="s">
        <v>953</v>
      </c>
      <c r="K84" s="39">
        <v>0</v>
      </c>
      <c r="L84" s="39">
        <v>20</v>
      </c>
      <c r="M84" s="39"/>
      <c r="N84" s="39"/>
      <c r="O84" s="17" t="s">
        <v>1267</v>
      </c>
    </row>
    <row r="85" spans="1:16">
      <c r="A85" s="8" t="s">
        <v>22</v>
      </c>
      <c r="B85" s="9" t="s">
        <v>22</v>
      </c>
      <c r="C85" s="10" t="s">
        <v>14</v>
      </c>
      <c r="D85" s="8" t="s">
        <v>14</v>
      </c>
      <c r="E85" s="7" t="str">
        <f t="shared" si="7"/>
        <v>05050101</v>
      </c>
      <c r="F85" s="1" t="s">
        <v>1223</v>
      </c>
      <c r="G85" s="1" t="str">
        <f>"抽屉"&amp;B85&amp;"立铣刀"</f>
        <v>抽屉05立铣刀</v>
      </c>
      <c r="H85" t="str">
        <f t="shared" si="8"/>
        <v>行号01</v>
      </c>
      <c r="I85" s="1" t="str">
        <f t="shared" si="9"/>
        <v>序号01</v>
      </c>
      <c r="J85" s="36" t="s">
        <v>958</v>
      </c>
      <c r="K85" s="39">
        <v>0</v>
      </c>
      <c r="L85" s="39">
        <v>10</v>
      </c>
      <c r="M85" s="39"/>
      <c r="N85" s="39"/>
      <c r="O85" s="17" t="s">
        <v>1263</v>
      </c>
    </row>
    <row r="86" spans="1:16">
      <c r="A86" s="8" t="s">
        <v>22</v>
      </c>
      <c r="B86" s="9" t="s">
        <v>22</v>
      </c>
      <c r="C86" s="10" t="s">
        <v>14</v>
      </c>
      <c r="D86" s="8" t="s">
        <v>16</v>
      </c>
      <c r="E86" s="7" t="str">
        <f t="shared" si="7"/>
        <v>05050102</v>
      </c>
      <c r="F86" s="1" t="s">
        <v>1223</v>
      </c>
      <c r="G86" s="1" t="str">
        <f t="shared" ref="G86:G106" si="10">"抽屉"&amp;B86&amp;"立铣刀"</f>
        <v>抽屉05立铣刀</v>
      </c>
      <c r="H86" t="str">
        <f t="shared" si="8"/>
        <v>行号01</v>
      </c>
      <c r="I86" s="1" t="str">
        <f t="shared" si="9"/>
        <v>序号02</v>
      </c>
      <c r="J86" s="36" t="s">
        <v>959</v>
      </c>
      <c r="K86" s="39">
        <v>0</v>
      </c>
      <c r="L86" s="39">
        <v>10</v>
      </c>
      <c r="M86" s="39"/>
      <c r="N86" s="39"/>
      <c r="O86" s="17" t="s">
        <v>1232</v>
      </c>
      <c r="P86" s="31">
        <v>967263</v>
      </c>
    </row>
    <row r="87" spans="1:16">
      <c r="A87" s="8" t="s">
        <v>22</v>
      </c>
      <c r="B87" s="9" t="s">
        <v>22</v>
      </c>
      <c r="C87" s="10" t="s">
        <v>14</v>
      </c>
      <c r="D87" s="8" t="s">
        <v>18</v>
      </c>
      <c r="E87" s="7" t="str">
        <f t="shared" si="7"/>
        <v>05050103</v>
      </c>
      <c r="F87" s="1" t="s">
        <v>1223</v>
      </c>
      <c r="G87" s="1" t="str">
        <f t="shared" si="10"/>
        <v>抽屉05立铣刀</v>
      </c>
      <c r="H87" t="str">
        <f t="shared" si="8"/>
        <v>行号01</v>
      </c>
      <c r="I87" s="1" t="str">
        <f t="shared" si="9"/>
        <v>序号03</v>
      </c>
      <c r="J87" s="36" t="s">
        <v>960</v>
      </c>
      <c r="K87" s="39">
        <v>0</v>
      </c>
      <c r="L87" s="39">
        <v>10</v>
      </c>
      <c r="M87" s="39"/>
      <c r="N87" s="39"/>
      <c r="O87" s="17" t="s">
        <v>1263</v>
      </c>
    </row>
    <row r="88" spans="1:16">
      <c r="A88" s="8" t="s">
        <v>22</v>
      </c>
      <c r="B88" s="9" t="s">
        <v>22</v>
      </c>
      <c r="C88" s="10" t="s">
        <v>14</v>
      </c>
      <c r="D88" s="8" t="s">
        <v>20</v>
      </c>
      <c r="E88" s="7" t="str">
        <f t="shared" si="7"/>
        <v>05050104</v>
      </c>
      <c r="F88" s="1" t="s">
        <v>1223</v>
      </c>
      <c r="G88" s="1" t="str">
        <f t="shared" si="10"/>
        <v>抽屉05立铣刀</v>
      </c>
      <c r="H88" t="str">
        <f t="shared" si="8"/>
        <v>行号01</v>
      </c>
      <c r="I88" s="1" t="str">
        <f t="shared" si="9"/>
        <v>序号04</v>
      </c>
      <c r="J88" s="36" t="s">
        <v>961</v>
      </c>
      <c r="K88" s="39">
        <v>0</v>
      </c>
      <c r="L88" s="39">
        <v>5</v>
      </c>
      <c r="M88" s="39"/>
      <c r="N88" s="39"/>
      <c r="O88" s="17" t="s">
        <v>1263</v>
      </c>
    </row>
    <row r="89" spans="1:16">
      <c r="A89" s="8" t="s">
        <v>22</v>
      </c>
      <c r="B89" s="9" t="s">
        <v>22</v>
      </c>
      <c r="C89" s="10" t="s">
        <v>14</v>
      </c>
      <c r="D89" s="8" t="s">
        <v>22</v>
      </c>
      <c r="E89" s="7" t="str">
        <f t="shared" si="7"/>
        <v>05050105</v>
      </c>
      <c r="F89" s="1" t="s">
        <v>1223</v>
      </c>
      <c r="G89" s="1" t="str">
        <f t="shared" si="10"/>
        <v>抽屉05立铣刀</v>
      </c>
      <c r="H89" t="str">
        <f t="shared" si="8"/>
        <v>行号01</v>
      </c>
      <c r="I89" s="1" t="str">
        <f t="shared" si="9"/>
        <v>序号05</v>
      </c>
      <c r="J89" s="36" t="s">
        <v>962</v>
      </c>
      <c r="K89" s="39">
        <v>0</v>
      </c>
      <c r="L89" s="39">
        <v>5</v>
      </c>
      <c r="M89" s="39"/>
      <c r="N89" s="39"/>
      <c r="O89" s="17" t="s">
        <v>1265</v>
      </c>
    </row>
    <row r="90" spans="1:16">
      <c r="A90" s="8" t="s">
        <v>22</v>
      </c>
      <c r="B90" s="9" t="s">
        <v>22</v>
      </c>
      <c r="C90" s="10" t="s">
        <v>14</v>
      </c>
      <c r="D90" s="8" t="s">
        <v>24</v>
      </c>
      <c r="E90" s="7" t="str">
        <f t="shared" si="7"/>
        <v>05050106</v>
      </c>
      <c r="F90" s="1" t="s">
        <v>1223</v>
      </c>
      <c r="G90" s="1" t="str">
        <f t="shared" si="10"/>
        <v>抽屉05立铣刀</v>
      </c>
      <c r="H90" t="str">
        <f t="shared" si="8"/>
        <v>行号01</v>
      </c>
      <c r="I90" s="1" t="str">
        <f t="shared" si="9"/>
        <v>序号06</v>
      </c>
      <c r="J90" s="38"/>
      <c r="K90" s="41"/>
      <c r="L90" s="41"/>
      <c r="M90" s="41">
        <v>0</v>
      </c>
      <c r="N90" s="41">
        <v>0</v>
      </c>
    </row>
    <row r="91" spans="1:16">
      <c r="A91" s="8" t="s">
        <v>22</v>
      </c>
      <c r="B91" s="9" t="s">
        <v>22</v>
      </c>
      <c r="C91" s="10" t="s">
        <v>14</v>
      </c>
      <c r="D91" s="8" t="s">
        <v>26</v>
      </c>
      <c r="E91" s="7" t="str">
        <f t="shared" si="7"/>
        <v>05050107</v>
      </c>
      <c r="F91" s="1" t="s">
        <v>1223</v>
      </c>
      <c r="G91" s="1" t="str">
        <f t="shared" si="10"/>
        <v>抽屉05立铣刀</v>
      </c>
      <c r="H91" t="str">
        <f t="shared" si="8"/>
        <v>行号01</v>
      </c>
      <c r="I91" s="1" t="str">
        <f t="shared" si="9"/>
        <v>序号07</v>
      </c>
      <c r="J91" s="38"/>
      <c r="K91" s="41"/>
      <c r="L91" s="41"/>
      <c r="M91" s="41">
        <v>0</v>
      </c>
      <c r="N91" s="41">
        <v>0</v>
      </c>
    </row>
    <row r="92" spans="1:16">
      <c r="A92" s="8" t="s">
        <v>22</v>
      </c>
      <c r="B92" s="9" t="s">
        <v>22</v>
      </c>
      <c r="C92" s="10" t="s">
        <v>14</v>
      </c>
      <c r="D92" s="8" t="s">
        <v>28</v>
      </c>
      <c r="E92" s="7" t="str">
        <f t="shared" si="7"/>
        <v>05050108</v>
      </c>
      <c r="F92" s="1" t="s">
        <v>1223</v>
      </c>
      <c r="G92" s="1" t="str">
        <f t="shared" si="10"/>
        <v>抽屉05立铣刀</v>
      </c>
      <c r="H92" t="str">
        <f t="shared" si="8"/>
        <v>行号01</v>
      </c>
      <c r="I92" s="1" t="str">
        <f t="shared" si="9"/>
        <v>序号08</v>
      </c>
      <c r="J92" s="38"/>
      <c r="K92" s="41"/>
      <c r="L92" s="41"/>
      <c r="M92" s="41">
        <v>0</v>
      </c>
      <c r="N92" s="41">
        <v>0</v>
      </c>
    </row>
    <row r="93" spans="1:16">
      <c r="A93" s="8" t="s">
        <v>22</v>
      </c>
      <c r="B93" s="9" t="s">
        <v>22</v>
      </c>
      <c r="C93" s="8" t="s">
        <v>16</v>
      </c>
      <c r="D93" s="11" t="s">
        <v>14</v>
      </c>
      <c r="E93" s="7" t="str">
        <f t="shared" si="7"/>
        <v>05050201</v>
      </c>
      <c r="F93" s="1" t="s">
        <v>1223</v>
      </c>
      <c r="G93" s="1" t="str">
        <f t="shared" si="10"/>
        <v>抽屉05立铣刀</v>
      </c>
      <c r="H93" t="str">
        <f t="shared" si="8"/>
        <v>行号02</v>
      </c>
      <c r="I93" s="1" t="str">
        <f t="shared" si="9"/>
        <v>序号01</v>
      </c>
      <c r="J93" s="36" t="s">
        <v>963</v>
      </c>
      <c r="K93" s="39">
        <v>0</v>
      </c>
      <c r="L93" s="39">
        <v>5</v>
      </c>
      <c r="M93" s="39"/>
      <c r="N93" s="39"/>
      <c r="O93" s="17" t="s">
        <v>1263</v>
      </c>
    </row>
    <row r="94" spans="1:16">
      <c r="A94" s="8" t="s">
        <v>22</v>
      </c>
      <c r="B94" s="9" t="s">
        <v>22</v>
      </c>
      <c r="C94" s="8" t="s">
        <v>16</v>
      </c>
      <c r="D94" s="11" t="s">
        <v>16</v>
      </c>
      <c r="E94" s="7" t="str">
        <f t="shared" si="7"/>
        <v>05050202</v>
      </c>
      <c r="F94" s="1" t="s">
        <v>1223</v>
      </c>
      <c r="G94" s="1" t="str">
        <f t="shared" si="10"/>
        <v>抽屉05立铣刀</v>
      </c>
      <c r="H94" t="str">
        <f t="shared" si="8"/>
        <v>行号02</v>
      </c>
      <c r="I94" s="1" t="str">
        <f t="shared" si="9"/>
        <v>序号02</v>
      </c>
      <c r="J94" s="36" t="s">
        <v>964</v>
      </c>
      <c r="K94" s="39">
        <v>0</v>
      </c>
      <c r="L94" s="39">
        <v>8</v>
      </c>
      <c r="M94" s="39"/>
      <c r="N94" s="39"/>
      <c r="O94" s="17" t="s">
        <v>1263</v>
      </c>
    </row>
    <row r="95" spans="1:16">
      <c r="A95" s="8" t="s">
        <v>22</v>
      </c>
      <c r="B95" s="9" t="s">
        <v>22</v>
      </c>
      <c r="C95" s="8" t="s">
        <v>16</v>
      </c>
      <c r="D95" s="11" t="s">
        <v>18</v>
      </c>
      <c r="E95" s="7" t="str">
        <f t="shared" si="7"/>
        <v>05050203</v>
      </c>
      <c r="F95" s="1" t="s">
        <v>1223</v>
      </c>
      <c r="G95" s="1" t="str">
        <f t="shared" si="10"/>
        <v>抽屉05立铣刀</v>
      </c>
      <c r="H95" t="str">
        <f t="shared" si="8"/>
        <v>行号02</v>
      </c>
      <c r="I95" s="1" t="str">
        <f t="shared" si="9"/>
        <v>序号03</v>
      </c>
      <c r="J95" s="36" t="s">
        <v>965</v>
      </c>
      <c r="K95" s="39">
        <v>0</v>
      </c>
      <c r="L95" s="39">
        <v>8</v>
      </c>
      <c r="M95" s="39"/>
      <c r="N95" s="39"/>
      <c r="O95" s="17" t="s">
        <v>1263</v>
      </c>
    </row>
    <row r="96" spans="1:16">
      <c r="A96" s="8" t="s">
        <v>22</v>
      </c>
      <c r="B96" s="9" t="s">
        <v>22</v>
      </c>
      <c r="C96" s="8" t="s">
        <v>16</v>
      </c>
      <c r="D96" s="11" t="s">
        <v>20</v>
      </c>
      <c r="E96" s="7" t="str">
        <f t="shared" si="7"/>
        <v>05050204</v>
      </c>
      <c r="F96" s="1" t="s">
        <v>1223</v>
      </c>
      <c r="G96" s="1" t="str">
        <f t="shared" si="10"/>
        <v>抽屉05立铣刀</v>
      </c>
      <c r="H96" t="str">
        <f t="shared" si="8"/>
        <v>行号02</v>
      </c>
      <c r="I96" s="1" t="str">
        <f t="shared" si="9"/>
        <v>序号04</v>
      </c>
      <c r="J96" s="36" t="s">
        <v>965</v>
      </c>
      <c r="K96" s="39">
        <v>0</v>
      </c>
      <c r="L96" s="39">
        <v>8</v>
      </c>
      <c r="M96" s="39"/>
      <c r="N96" s="39"/>
      <c r="O96" s="17" t="s">
        <v>1263</v>
      </c>
      <c r="P96" s="31">
        <v>965120</v>
      </c>
    </row>
    <row r="97" spans="1:16">
      <c r="A97" s="8" t="s">
        <v>22</v>
      </c>
      <c r="B97" s="9" t="s">
        <v>22</v>
      </c>
      <c r="C97" s="8" t="s">
        <v>16</v>
      </c>
      <c r="D97" s="11" t="s">
        <v>22</v>
      </c>
      <c r="E97" s="7" t="str">
        <f t="shared" si="7"/>
        <v>05050205</v>
      </c>
      <c r="F97" s="1" t="s">
        <v>1223</v>
      </c>
      <c r="G97" s="1" t="str">
        <f t="shared" si="10"/>
        <v>抽屉05立铣刀</v>
      </c>
      <c r="H97" t="str">
        <f t="shared" si="8"/>
        <v>行号02</v>
      </c>
      <c r="I97" s="1" t="str">
        <f t="shared" si="9"/>
        <v>序号05</v>
      </c>
      <c r="J97" s="36" t="s">
        <v>966</v>
      </c>
      <c r="K97" s="39">
        <v>0</v>
      </c>
      <c r="L97" s="39">
        <v>5</v>
      </c>
      <c r="M97" s="39"/>
      <c r="N97" s="39"/>
      <c r="O97" s="17" t="s">
        <v>1263</v>
      </c>
    </row>
    <row r="98" spans="1:16">
      <c r="A98" s="8" t="s">
        <v>22</v>
      </c>
      <c r="B98" s="9" t="s">
        <v>22</v>
      </c>
      <c r="C98" s="8" t="s">
        <v>16</v>
      </c>
      <c r="D98" s="11" t="s">
        <v>24</v>
      </c>
      <c r="E98" s="7" t="str">
        <f t="shared" si="7"/>
        <v>05050206</v>
      </c>
      <c r="F98" s="1" t="s">
        <v>1223</v>
      </c>
      <c r="G98" s="1" t="str">
        <f t="shared" si="10"/>
        <v>抽屉05立铣刀</v>
      </c>
      <c r="H98" t="str">
        <f t="shared" si="8"/>
        <v>行号02</v>
      </c>
      <c r="I98" s="1" t="str">
        <f t="shared" si="9"/>
        <v>序号06</v>
      </c>
      <c r="J98" s="36" t="s">
        <v>967</v>
      </c>
      <c r="K98" s="39">
        <v>0</v>
      </c>
      <c r="L98" s="39">
        <v>5</v>
      </c>
      <c r="M98" s="39"/>
      <c r="N98" s="39"/>
      <c r="O98" s="17" t="s">
        <v>1232</v>
      </c>
    </row>
    <row r="99" spans="1:16">
      <c r="A99" s="8" t="s">
        <v>22</v>
      </c>
      <c r="B99" s="9" t="s">
        <v>22</v>
      </c>
      <c r="C99" s="8" t="s">
        <v>16</v>
      </c>
      <c r="D99" s="11" t="s">
        <v>26</v>
      </c>
      <c r="E99" s="7" t="str">
        <f t="shared" si="7"/>
        <v>05050207</v>
      </c>
      <c r="F99" s="1" t="s">
        <v>1223</v>
      </c>
      <c r="G99" s="1" t="str">
        <f t="shared" si="10"/>
        <v>抽屉05立铣刀</v>
      </c>
      <c r="H99" t="str">
        <f t="shared" si="8"/>
        <v>行号02</v>
      </c>
      <c r="I99" s="1" t="str">
        <f t="shared" si="9"/>
        <v>序号07</v>
      </c>
      <c r="J99" s="38"/>
      <c r="K99" s="41"/>
      <c r="L99" s="41"/>
      <c r="M99" s="41">
        <v>0</v>
      </c>
      <c r="N99" s="41">
        <v>0</v>
      </c>
    </row>
    <row r="100" spans="1:16">
      <c r="A100" s="8" t="s">
        <v>22</v>
      </c>
      <c r="B100" s="9" t="s">
        <v>22</v>
      </c>
      <c r="C100" s="8" t="s">
        <v>16</v>
      </c>
      <c r="D100" s="11" t="s">
        <v>28</v>
      </c>
      <c r="E100" s="7" t="str">
        <f t="shared" si="7"/>
        <v>05050208</v>
      </c>
      <c r="F100" s="1" t="s">
        <v>1223</v>
      </c>
      <c r="G100" s="1" t="str">
        <f t="shared" si="10"/>
        <v>抽屉05立铣刀</v>
      </c>
      <c r="H100" t="str">
        <f t="shared" si="8"/>
        <v>行号02</v>
      </c>
      <c r="I100" s="1" t="str">
        <f t="shared" si="9"/>
        <v>序号08</v>
      </c>
      <c r="J100" s="38"/>
      <c r="K100" s="41"/>
      <c r="L100" s="41"/>
      <c r="M100" s="41">
        <v>0</v>
      </c>
      <c r="N100" s="41">
        <v>0</v>
      </c>
    </row>
    <row r="101" spans="1:16">
      <c r="A101" s="8" t="s">
        <v>22</v>
      </c>
      <c r="B101" s="9" t="s">
        <v>22</v>
      </c>
      <c r="C101" s="10" t="s">
        <v>18</v>
      </c>
      <c r="D101" s="8" t="s">
        <v>14</v>
      </c>
      <c r="E101" s="7" t="str">
        <f t="shared" si="7"/>
        <v>05050301</v>
      </c>
      <c r="F101" s="1" t="s">
        <v>1223</v>
      </c>
      <c r="G101" s="1" t="str">
        <f t="shared" si="10"/>
        <v>抽屉05立铣刀</v>
      </c>
      <c r="H101" t="str">
        <f t="shared" si="8"/>
        <v>行号03</v>
      </c>
      <c r="I101" s="1" t="str">
        <f t="shared" si="9"/>
        <v>序号01</v>
      </c>
      <c r="J101" s="36" t="s">
        <v>968</v>
      </c>
      <c r="K101" s="39">
        <v>0</v>
      </c>
      <c r="L101" s="39">
        <v>5</v>
      </c>
      <c r="M101" s="39"/>
      <c r="N101" s="39"/>
      <c r="O101" s="17" t="s">
        <v>1263</v>
      </c>
    </row>
    <row r="102" spans="1:16">
      <c r="A102" s="8" t="s">
        <v>22</v>
      </c>
      <c r="B102" s="9" t="s">
        <v>22</v>
      </c>
      <c r="C102" s="10" t="s">
        <v>18</v>
      </c>
      <c r="D102" s="8" t="s">
        <v>16</v>
      </c>
      <c r="E102" s="7" t="str">
        <f t="shared" si="7"/>
        <v>05050302</v>
      </c>
      <c r="F102" s="1" t="s">
        <v>1223</v>
      </c>
      <c r="G102" s="1" t="str">
        <f t="shared" si="10"/>
        <v>抽屉05立铣刀</v>
      </c>
      <c r="H102" t="str">
        <f t="shared" si="8"/>
        <v>行号03</v>
      </c>
      <c r="I102" s="1" t="str">
        <f t="shared" si="9"/>
        <v>序号02</v>
      </c>
      <c r="J102" s="36" t="s">
        <v>969</v>
      </c>
      <c r="K102" s="39">
        <v>0</v>
      </c>
      <c r="L102" s="39">
        <v>5</v>
      </c>
      <c r="M102" s="39"/>
      <c r="N102" s="39"/>
      <c r="O102" s="17" t="s">
        <v>1232</v>
      </c>
    </row>
    <row r="103" spans="1:16">
      <c r="A103" s="8" t="s">
        <v>22</v>
      </c>
      <c r="B103" s="9" t="s">
        <v>22</v>
      </c>
      <c r="C103" s="8" t="s">
        <v>20</v>
      </c>
      <c r="D103" s="11" t="s">
        <v>22</v>
      </c>
      <c r="E103" s="7" t="str">
        <f t="shared" si="7"/>
        <v>05050405</v>
      </c>
      <c r="F103" s="1" t="s">
        <v>1223</v>
      </c>
      <c r="G103" s="1" t="str">
        <f t="shared" si="10"/>
        <v>抽屉05立铣刀</v>
      </c>
      <c r="H103" t="str">
        <f t="shared" si="8"/>
        <v>行号04</v>
      </c>
      <c r="I103" s="1" t="str">
        <f t="shared" si="9"/>
        <v>序号05</v>
      </c>
      <c r="J103" s="36" t="s">
        <v>979</v>
      </c>
      <c r="K103" s="39">
        <v>0</v>
      </c>
      <c r="L103" s="39">
        <v>5</v>
      </c>
      <c r="M103" s="39"/>
      <c r="N103" s="39"/>
      <c r="O103" s="32" t="s">
        <v>1235</v>
      </c>
    </row>
    <row r="104" spans="1:16">
      <c r="A104" s="8" t="s">
        <v>22</v>
      </c>
      <c r="B104" s="9" t="s">
        <v>22</v>
      </c>
      <c r="C104" s="8" t="s">
        <v>20</v>
      </c>
      <c r="D104" s="11" t="s">
        <v>24</v>
      </c>
      <c r="E104" s="7" t="str">
        <f t="shared" si="7"/>
        <v>05050406</v>
      </c>
      <c r="F104" s="1" t="s">
        <v>1223</v>
      </c>
      <c r="G104" s="1" t="str">
        <f t="shared" si="10"/>
        <v>抽屉05立铣刀</v>
      </c>
      <c r="H104" t="str">
        <f t="shared" si="8"/>
        <v>行号04</v>
      </c>
      <c r="I104" s="1" t="str">
        <f t="shared" si="9"/>
        <v>序号06</v>
      </c>
      <c r="J104" s="36" t="s">
        <v>980</v>
      </c>
      <c r="K104" s="39">
        <v>0</v>
      </c>
      <c r="L104" s="39">
        <v>5</v>
      </c>
      <c r="M104" s="39"/>
      <c r="N104" s="39"/>
      <c r="O104" s="17" t="s">
        <v>1263</v>
      </c>
    </row>
    <row r="105" spans="1:16">
      <c r="A105" s="8" t="s">
        <v>22</v>
      </c>
      <c r="B105" s="9" t="s">
        <v>22</v>
      </c>
      <c r="C105" s="8" t="s">
        <v>20</v>
      </c>
      <c r="D105" s="11" t="s">
        <v>26</v>
      </c>
      <c r="E105" s="7" t="str">
        <f t="shared" si="7"/>
        <v>05050407</v>
      </c>
      <c r="F105" s="1" t="s">
        <v>1223</v>
      </c>
      <c r="G105" s="1" t="str">
        <f t="shared" si="10"/>
        <v>抽屉05立铣刀</v>
      </c>
      <c r="H105" t="str">
        <f t="shared" si="8"/>
        <v>行号04</v>
      </c>
      <c r="I105" s="1" t="str">
        <f t="shared" si="9"/>
        <v>序号07</v>
      </c>
      <c r="J105" s="36" t="s">
        <v>901</v>
      </c>
      <c r="K105" s="39">
        <v>0</v>
      </c>
      <c r="L105" s="39">
        <v>5</v>
      </c>
      <c r="M105" s="39"/>
      <c r="N105" s="39"/>
      <c r="O105" s="32" t="s">
        <v>1235</v>
      </c>
    </row>
    <row r="106" spans="1:16">
      <c r="A106" s="8" t="s">
        <v>22</v>
      </c>
      <c r="B106" s="9" t="s">
        <v>22</v>
      </c>
      <c r="C106" s="8" t="s">
        <v>20</v>
      </c>
      <c r="D106" s="11" t="s">
        <v>28</v>
      </c>
      <c r="E106" s="7" t="str">
        <f t="shared" si="7"/>
        <v>05050408</v>
      </c>
      <c r="F106" s="1" t="s">
        <v>1223</v>
      </c>
      <c r="G106" s="1" t="str">
        <f t="shared" si="10"/>
        <v>抽屉05立铣刀</v>
      </c>
      <c r="H106" t="str">
        <f t="shared" si="8"/>
        <v>行号04</v>
      </c>
      <c r="I106" s="1" t="str">
        <f t="shared" si="9"/>
        <v>序号08</v>
      </c>
      <c r="J106" s="38"/>
      <c r="K106" s="41"/>
      <c r="L106" s="41"/>
      <c r="M106" s="41">
        <v>0</v>
      </c>
      <c r="N106" s="41">
        <v>0</v>
      </c>
    </row>
    <row r="107" spans="1:16">
      <c r="A107" s="8" t="s">
        <v>22</v>
      </c>
      <c r="B107" s="8" t="s">
        <v>24</v>
      </c>
      <c r="C107" s="10" t="s">
        <v>14</v>
      </c>
      <c r="D107" s="8" t="s">
        <v>14</v>
      </c>
      <c r="E107" s="7" t="str">
        <f t="shared" si="7"/>
        <v>05060101</v>
      </c>
      <c r="F107" s="1" t="s">
        <v>1223</v>
      </c>
      <c r="G107" s="1" t="str">
        <f>"抽屉"&amp;B107&amp;"立铣刀"</f>
        <v>抽屉06立铣刀</v>
      </c>
      <c r="H107" t="str">
        <f t="shared" si="8"/>
        <v>行号01</v>
      </c>
      <c r="I107" s="1" t="str">
        <f t="shared" si="9"/>
        <v>序号01</v>
      </c>
      <c r="J107" s="36" t="s">
        <v>981</v>
      </c>
      <c r="K107" s="39">
        <v>0</v>
      </c>
      <c r="L107" s="39">
        <v>5</v>
      </c>
      <c r="M107" s="39"/>
      <c r="N107" s="39"/>
      <c r="O107" s="17" t="s">
        <v>1263</v>
      </c>
    </row>
    <row r="108" spans="1:16">
      <c r="A108" s="8" t="s">
        <v>22</v>
      </c>
      <c r="B108" s="8" t="s">
        <v>24</v>
      </c>
      <c r="C108" s="10" t="s">
        <v>14</v>
      </c>
      <c r="D108" s="8" t="s">
        <v>16</v>
      </c>
      <c r="E108" s="7" t="str">
        <f t="shared" si="7"/>
        <v>05060102</v>
      </c>
      <c r="F108" s="1" t="s">
        <v>1223</v>
      </c>
      <c r="G108" s="1" t="str">
        <f t="shared" ref="G108:G122" si="11">"抽屉"&amp;B108&amp;"立铣刀"</f>
        <v>抽屉06立铣刀</v>
      </c>
      <c r="H108" t="str">
        <f t="shared" si="8"/>
        <v>行号01</v>
      </c>
      <c r="I108" s="1" t="str">
        <f t="shared" si="9"/>
        <v>序号02</v>
      </c>
      <c r="J108" s="36" t="s">
        <v>982</v>
      </c>
      <c r="K108" s="39">
        <v>0</v>
      </c>
      <c r="L108" s="39">
        <v>5</v>
      </c>
      <c r="M108" s="39"/>
      <c r="N108" s="39"/>
      <c r="O108" s="17" t="s">
        <v>1263</v>
      </c>
    </row>
    <row r="109" spans="1:16">
      <c r="A109" s="8" t="s">
        <v>22</v>
      </c>
      <c r="B109" s="8" t="s">
        <v>24</v>
      </c>
      <c r="C109" s="10" t="s">
        <v>14</v>
      </c>
      <c r="D109" s="8" t="s">
        <v>18</v>
      </c>
      <c r="E109" s="7" t="str">
        <f t="shared" si="7"/>
        <v>05060103</v>
      </c>
      <c r="F109" s="1" t="s">
        <v>1223</v>
      </c>
      <c r="G109" s="1" t="str">
        <f t="shared" si="11"/>
        <v>抽屉06立铣刀</v>
      </c>
      <c r="H109" t="str">
        <f t="shared" si="8"/>
        <v>行号01</v>
      </c>
      <c r="I109" s="1" t="str">
        <f t="shared" si="9"/>
        <v>序号03</v>
      </c>
      <c r="J109" s="36" t="s">
        <v>983</v>
      </c>
      <c r="K109" s="39">
        <v>0</v>
      </c>
      <c r="L109" s="39">
        <v>5</v>
      </c>
      <c r="M109" s="39"/>
      <c r="N109" s="39"/>
      <c r="O109" s="17" t="s">
        <v>1232</v>
      </c>
    </row>
    <row r="110" spans="1:16">
      <c r="A110" s="8" t="s">
        <v>22</v>
      </c>
      <c r="B110" s="8" t="s">
        <v>24</v>
      </c>
      <c r="C110" s="10" t="s">
        <v>14</v>
      </c>
      <c r="D110" s="8" t="s">
        <v>20</v>
      </c>
      <c r="E110" s="7" t="str">
        <f t="shared" si="7"/>
        <v>05060104</v>
      </c>
      <c r="F110" s="1" t="s">
        <v>1223</v>
      </c>
      <c r="G110" s="1" t="str">
        <f t="shared" si="11"/>
        <v>抽屉06立铣刀</v>
      </c>
      <c r="H110" t="str">
        <f t="shared" si="8"/>
        <v>行号01</v>
      </c>
      <c r="I110" s="1" t="str">
        <f t="shared" si="9"/>
        <v>序号04</v>
      </c>
      <c r="J110" s="36" t="s">
        <v>984</v>
      </c>
      <c r="K110" s="39">
        <v>0</v>
      </c>
      <c r="L110" s="39">
        <v>3</v>
      </c>
      <c r="M110" s="39"/>
      <c r="N110" s="39"/>
      <c r="O110" s="17" t="s">
        <v>1232</v>
      </c>
    </row>
    <row r="111" spans="1:16">
      <c r="A111" s="8" t="s">
        <v>22</v>
      </c>
      <c r="B111" s="8" t="s">
        <v>24</v>
      </c>
      <c r="C111" s="10" t="s">
        <v>14</v>
      </c>
      <c r="D111" s="8" t="s">
        <v>22</v>
      </c>
      <c r="E111" s="7" t="str">
        <f t="shared" si="7"/>
        <v>05060105</v>
      </c>
      <c r="F111" s="1" t="s">
        <v>1223</v>
      </c>
      <c r="G111" s="1" t="str">
        <f t="shared" si="11"/>
        <v>抽屉06立铣刀</v>
      </c>
      <c r="H111" t="str">
        <f t="shared" si="8"/>
        <v>行号01</v>
      </c>
      <c r="I111" s="1" t="str">
        <f t="shared" si="9"/>
        <v>序号05</v>
      </c>
      <c r="J111" s="36" t="s">
        <v>985</v>
      </c>
      <c r="K111" s="39">
        <v>0</v>
      </c>
      <c r="L111" s="39">
        <v>5</v>
      </c>
      <c r="M111" s="39"/>
      <c r="N111" s="39"/>
      <c r="O111" s="17" t="s">
        <v>1263</v>
      </c>
      <c r="P111" s="31">
        <v>965118</v>
      </c>
    </row>
    <row r="112" spans="1:16">
      <c r="A112" s="8" t="s">
        <v>22</v>
      </c>
      <c r="B112" s="8" t="s">
        <v>24</v>
      </c>
      <c r="C112" s="10" t="s">
        <v>14</v>
      </c>
      <c r="D112" s="8" t="s">
        <v>24</v>
      </c>
      <c r="E112" s="7" t="str">
        <f t="shared" si="7"/>
        <v>05060106</v>
      </c>
      <c r="F112" s="1" t="s">
        <v>1223</v>
      </c>
      <c r="G112" s="1" t="str">
        <f t="shared" si="11"/>
        <v>抽屉06立铣刀</v>
      </c>
      <c r="H112" t="str">
        <f t="shared" si="8"/>
        <v>行号01</v>
      </c>
      <c r="I112" s="1" t="str">
        <f t="shared" si="9"/>
        <v>序号06</v>
      </c>
      <c r="J112" t="s">
        <v>986</v>
      </c>
      <c r="K112" s="39">
        <v>0</v>
      </c>
      <c r="L112" s="39">
        <v>3</v>
      </c>
      <c r="M112" s="39"/>
      <c r="N112" s="39"/>
      <c r="O112" s="17" t="s">
        <v>1265</v>
      </c>
    </row>
    <row r="113" spans="1:16">
      <c r="A113" s="8" t="s">
        <v>22</v>
      </c>
      <c r="B113" s="8" t="s">
        <v>24</v>
      </c>
      <c r="C113" s="10" t="s">
        <v>14</v>
      </c>
      <c r="D113" s="8" t="s">
        <v>26</v>
      </c>
      <c r="E113" s="7" t="str">
        <f t="shared" si="7"/>
        <v>05060107</v>
      </c>
      <c r="F113" s="1" t="s">
        <v>1223</v>
      </c>
      <c r="G113" s="1" t="str">
        <f t="shared" si="11"/>
        <v>抽屉06立铣刀</v>
      </c>
      <c r="H113" t="str">
        <f t="shared" si="8"/>
        <v>行号01</v>
      </c>
      <c r="I113" s="1" t="str">
        <f t="shared" si="9"/>
        <v>序号07</v>
      </c>
      <c r="J113" s="24"/>
      <c r="K113" s="41"/>
      <c r="L113" s="41"/>
      <c r="M113" s="41">
        <v>0</v>
      </c>
      <c r="N113" s="41">
        <v>0</v>
      </c>
    </row>
    <row r="114" spans="1:16">
      <c r="A114" s="8" t="s">
        <v>22</v>
      </c>
      <c r="B114" s="8" t="s">
        <v>24</v>
      </c>
      <c r="C114" s="10" t="s">
        <v>14</v>
      </c>
      <c r="D114" s="8" t="s">
        <v>28</v>
      </c>
      <c r="E114" s="7" t="str">
        <f t="shared" si="7"/>
        <v>05060108</v>
      </c>
      <c r="F114" s="1" t="s">
        <v>1223</v>
      </c>
      <c r="G114" s="1" t="str">
        <f t="shared" si="11"/>
        <v>抽屉06立铣刀</v>
      </c>
      <c r="H114" t="str">
        <f t="shared" si="8"/>
        <v>行号01</v>
      </c>
      <c r="I114" s="1" t="str">
        <f t="shared" si="9"/>
        <v>序号08</v>
      </c>
      <c r="J114" s="54"/>
      <c r="K114" s="41"/>
      <c r="L114" s="41"/>
      <c r="M114" s="41">
        <v>0</v>
      </c>
      <c r="N114" s="41">
        <v>0</v>
      </c>
    </row>
    <row r="115" spans="1:16">
      <c r="A115" s="8" t="s">
        <v>22</v>
      </c>
      <c r="B115" s="8" t="s">
        <v>24</v>
      </c>
      <c r="C115" s="8" t="s">
        <v>16</v>
      </c>
      <c r="D115" s="11" t="s">
        <v>14</v>
      </c>
      <c r="E115" s="7" t="str">
        <f t="shared" si="7"/>
        <v>05060201</v>
      </c>
      <c r="F115" s="1" t="s">
        <v>1223</v>
      </c>
      <c r="G115" s="1" t="str">
        <f t="shared" si="11"/>
        <v>抽屉06立铣刀</v>
      </c>
      <c r="H115" t="str">
        <f t="shared" si="8"/>
        <v>行号02</v>
      </c>
      <c r="I115" s="1" t="str">
        <f t="shared" si="9"/>
        <v>序号01</v>
      </c>
      <c r="J115" s="36" t="s">
        <v>987</v>
      </c>
      <c r="K115" s="39">
        <v>0</v>
      </c>
      <c r="L115" s="39">
        <v>5</v>
      </c>
      <c r="M115" s="39"/>
      <c r="N115" s="39"/>
      <c r="O115" s="17" t="s">
        <v>1244</v>
      </c>
    </row>
    <row r="116" spans="1:16">
      <c r="A116" s="8" t="s">
        <v>22</v>
      </c>
      <c r="B116" s="8" t="s">
        <v>24</v>
      </c>
      <c r="C116" s="8" t="s">
        <v>20</v>
      </c>
      <c r="D116" s="11" t="s">
        <v>16</v>
      </c>
      <c r="E116" s="7" t="str">
        <f t="shared" si="7"/>
        <v>05060402</v>
      </c>
      <c r="F116" s="1" t="s">
        <v>1223</v>
      </c>
      <c r="G116" s="1" t="str">
        <f t="shared" si="11"/>
        <v>抽屉06立铣刀</v>
      </c>
      <c r="H116" t="str">
        <f t="shared" si="8"/>
        <v>行号04</v>
      </c>
      <c r="I116" s="1" t="str">
        <f t="shared" si="9"/>
        <v>序号02</v>
      </c>
      <c r="J116" s="38"/>
      <c r="K116" s="41"/>
      <c r="L116" s="41"/>
      <c r="M116" s="41">
        <v>0</v>
      </c>
      <c r="N116" s="41">
        <v>0</v>
      </c>
    </row>
    <row r="117" spans="1:16">
      <c r="A117" s="8" t="s">
        <v>22</v>
      </c>
      <c r="B117" s="8" t="s">
        <v>24</v>
      </c>
      <c r="C117" s="8" t="s">
        <v>20</v>
      </c>
      <c r="D117" s="11" t="s">
        <v>18</v>
      </c>
      <c r="E117" s="7" t="str">
        <f t="shared" si="7"/>
        <v>05060403</v>
      </c>
      <c r="F117" s="1" t="s">
        <v>1223</v>
      </c>
      <c r="G117" s="1" t="str">
        <f t="shared" si="11"/>
        <v>抽屉06立铣刀</v>
      </c>
      <c r="H117" t="str">
        <f t="shared" si="8"/>
        <v>行号04</v>
      </c>
      <c r="I117" s="1" t="str">
        <f t="shared" si="9"/>
        <v>序号03</v>
      </c>
      <c r="J117" s="38"/>
      <c r="K117" s="41"/>
      <c r="L117" s="41"/>
      <c r="M117" s="41">
        <v>0</v>
      </c>
      <c r="N117" s="41">
        <v>0</v>
      </c>
    </row>
    <row r="118" spans="1:16">
      <c r="A118" s="8" t="s">
        <v>22</v>
      </c>
      <c r="B118" s="8" t="s">
        <v>24</v>
      </c>
      <c r="C118" s="8" t="s">
        <v>20</v>
      </c>
      <c r="D118" s="11" t="s">
        <v>20</v>
      </c>
      <c r="E118" s="7" t="str">
        <f t="shared" si="7"/>
        <v>05060404</v>
      </c>
      <c r="F118" s="1" t="s">
        <v>1223</v>
      </c>
      <c r="G118" s="1" t="str">
        <f t="shared" si="11"/>
        <v>抽屉06立铣刀</v>
      </c>
      <c r="H118" t="str">
        <f t="shared" si="8"/>
        <v>行号04</v>
      </c>
      <c r="I118" s="1" t="str">
        <f t="shared" si="9"/>
        <v>序号04</v>
      </c>
      <c r="J118" s="38"/>
      <c r="K118" s="41"/>
      <c r="L118" s="41"/>
      <c r="M118" s="41">
        <v>0</v>
      </c>
      <c r="N118" s="41">
        <v>0</v>
      </c>
    </row>
    <row r="119" spans="1:16">
      <c r="A119" s="8" t="s">
        <v>22</v>
      </c>
      <c r="B119" s="8" t="s">
        <v>24</v>
      </c>
      <c r="C119" s="8" t="s">
        <v>20</v>
      </c>
      <c r="D119" s="11" t="s">
        <v>22</v>
      </c>
      <c r="E119" s="7" t="str">
        <f t="shared" si="7"/>
        <v>05060405</v>
      </c>
      <c r="F119" s="1" t="s">
        <v>1223</v>
      </c>
      <c r="G119" s="1" t="str">
        <f t="shared" si="11"/>
        <v>抽屉06立铣刀</v>
      </c>
      <c r="H119" t="str">
        <f t="shared" si="8"/>
        <v>行号04</v>
      </c>
      <c r="I119" s="1" t="str">
        <f t="shared" si="9"/>
        <v>序号05</v>
      </c>
      <c r="J119" s="38"/>
      <c r="K119" s="41"/>
      <c r="L119" s="41"/>
      <c r="M119" s="41">
        <v>0</v>
      </c>
      <c r="N119" s="41">
        <v>0</v>
      </c>
    </row>
    <row r="120" spans="1:16">
      <c r="A120" s="8" t="s">
        <v>22</v>
      </c>
      <c r="B120" s="8" t="s">
        <v>24</v>
      </c>
      <c r="C120" s="8" t="s">
        <v>20</v>
      </c>
      <c r="D120" s="11" t="s">
        <v>24</v>
      </c>
      <c r="E120" s="7" t="str">
        <f t="shared" si="7"/>
        <v>05060406</v>
      </c>
      <c r="F120" s="1" t="s">
        <v>1223</v>
      </c>
      <c r="G120" s="1" t="str">
        <f t="shared" si="11"/>
        <v>抽屉06立铣刀</v>
      </c>
      <c r="H120" t="str">
        <f t="shared" si="8"/>
        <v>行号04</v>
      </c>
      <c r="I120" s="1" t="str">
        <f t="shared" si="9"/>
        <v>序号06</v>
      </c>
      <c r="J120" s="38"/>
      <c r="K120" s="41"/>
      <c r="L120" s="41"/>
      <c r="M120" s="41">
        <v>0</v>
      </c>
      <c r="N120" s="41">
        <v>0</v>
      </c>
    </row>
    <row r="121" spans="1:16">
      <c r="A121" s="8" t="s">
        <v>22</v>
      </c>
      <c r="B121" s="8" t="s">
        <v>24</v>
      </c>
      <c r="C121" s="8" t="s">
        <v>20</v>
      </c>
      <c r="D121" s="11" t="s">
        <v>26</v>
      </c>
      <c r="E121" s="7" t="str">
        <f t="shared" si="7"/>
        <v>05060407</v>
      </c>
      <c r="F121" s="1" t="s">
        <v>1223</v>
      </c>
      <c r="G121" s="1" t="str">
        <f t="shared" si="11"/>
        <v>抽屉06立铣刀</v>
      </c>
      <c r="H121" t="str">
        <f t="shared" si="8"/>
        <v>行号04</v>
      </c>
      <c r="I121" s="1" t="str">
        <f t="shared" si="9"/>
        <v>序号07</v>
      </c>
      <c r="J121" s="38"/>
      <c r="K121" s="41"/>
      <c r="L121" s="41"/>
      <c r="M121" s="41">
        <v>0</v>
      </c>
      <c r="N121" s="41">
        <v>0</v>
      </c>
    </row>
    <row r="122" spans="1:16">
      <c r="A122" s="8" t="s">
        <v>22</v>
      </c>
      <c r="B122" s="8" t="s">
        <v>24</v>
      </c>
      <c r="C122" s="8" t="s">
        <v>20</v>
      </c>
      <c r="D122" s="11" t="s">
        <v>28</v>
      </c>
      <c r="E122" s="7" t="str">
        <f t="shared" si="7"/>
        <v>05060408</v>
      </c>
      <c r="F122" s="1" t="s">
        <v>1223</v>
      </c>
      <c r="G122" s="1" t="str">
        <f t="shared" si="11"/>
        <v>抽屉06立铣刀</v>
      </c>
      <c r="H122" t="str">
        <f t="shared" si="8"/>
        <v>行号04</v>
      </c>
      <c r="I122" s="1" t="str">
        <f t="shared" si="9"/>
        <v>序号08</v>
      </c>
      <c r="J122" s="38"/>
      <c r="K122" s="41"/>
      <c r="L122" s="41"/>
      <c r="M122" s="41">
        <v>0</v>
      </c>
      <c r="N122" s="41">
        <v>0</v>
      </c>
    </row>
    <row r="123" spans="1:16">
      <c r="A123" s="8" t="s">
        <v>22</v>
      </c>
      <c r="B123" s="9" t="s">
        <v>26</v>
      </c>
      <c r="C123" s="10" t="s">
        <v>14</v>
      </c>
      <c r="D123" s="8" t="s">
        <v>16</v>
      </c>
      <c r="E123" s="7" t="str">
        <f t="shared" si="7"/>
        <v>05070102</v>
      </c>
      <c r="F123" s="1" t="s">
        <v>1223</v>
      </c>
      <c r="G123" s="1" t="str">
        <f>"抽屉"&amp;B123&amp;"立铣刀"</f>
        <v>抽屉07立铣刀</v>
      </c>
      <c r="H123" t="str">
        <f t="shared" si="8"/>
        <v>行号01</v>
      </c>
      <c r="I123" s="1" t="str">
        <f t="shared" si="9"/>
        <v>序号02</v>
      </c>
      <c r="J123" s="36" t="s">
        <v>1003</v>
      </c>
      <c r="K123" s="39">
        <v>0</v>
      </c>
      <c r="L123" s="39">
        <v>5</v>
      </c>
      <c r="M123" s="39"/>
      <c r="N123" s="39"/>
      <c r="O123" s="17" t="s">
        <v>1232</v>
      </c>
      <c r="P123" s="31">
        <v>967278</v>
      </c>
    </row>
    <row r="124" spans="1:16">
      <c r="A124" s="8" t="s">
        <v>22</v>
      </c>
      <c r="B124" s="9" t="s">
        <v>26</v>
      </c>
      <c r="C124" s="10" t="s">
        <v>14</v>
      </c>
      <c r="D124" s="8" t="s">
        <v>18</v>
      </c>
      <c r="E124" s="7" t="str">
        <f t="shared" si="7"/>
        <v>05070103</v>
      </c>
      <c r="F124" s="1" t="s">
        <v>1223</v>
      </c>
      <c r="G124" s="1" t="str">
        <f t="shared" ref="G124:G152" si="12">"抽屉"&amp;B124&amp;"立铣刀"</f>
        <v>抽屉07立铣刀</v>
      </c>
      <c r="H124" t="str">
        <f t="shared" si="8"/>
        <v>行号01</v>
      </c>
      <c r="I124" s="1" t="str">
        <f t="shared" si="9"/>
        <v>序号03</v>
      </c>
      <c r="J124" s="36" t="s">
        <v>1003</v>
      </c>
      <c r="K124" s="39">
        <v>0</v>
      </c>
      <c r="L124" s="39">
        <v>5</v>
      </c>
      <c r="M124" s="39"/>
      <c r="N124" s="39"/>
      <c r="O124" s="17" t="s">
        <v>1232</v>
      </c>
    </row>
    <row r="125" spans="1:16">
      <c r="A125" s="8" t="s">
        <v>22</v>
      </c>
      <c r="B125" s="9" t="s">
        <v>26</v>
      </c>
      <c r="C125" s="10" t="s">
        <v>14</v>
      </c>
      <c r="D125" s="8" t="s">
        <v>22</v>
      </c>
      <c r="E125" s="7" t="str">
        <f t="shared" si="7"/>
        <v>05070105</v>
      </c>
      <c r="F125" s="1" t="s">
        <v>1223</v>
      </c>
      <c r="G125" s="1" t="str">
        <f t="shared" si="12"/>
        <v>抽屉07立铣刀</v>
      </c>
      <c r="H125" t="str">
        <f t="shared" si="8"/>
        <v>行号01</v>
      </c>
      <c r="I125" s="1" t="str">
        <f t="shared" si="9"/>
        <v>序号05</v>
      </c>
      <c r="J125" s="36" t="s">
        <v>1005</v>
      </c>
      <c r="K125" s="39">
        <v>0</v>
      </c>
      <c r="L125" s="39">
        <v>5</v>
      </c>
      <c r="M125" s="39"/>
      <c r="N125" s="39"/>
      <c r="O125" s="17" t="s">
        <v>1265</v>
      </c>
    </row>
    <row r="126" spans="1:16">
      <c r="A126" s="8" t="s">
        <v>22</v>
      </c>
      <c r="B126" s="9" t="s">
        <v>26</v>
      </c>
      <c r="C126" s="10" t="s">
        <v>14</v>
      </c>
      <c r="D126" s="8" t="s">
        <v>24</v>
      </c>
      <c r="E126" s="7" t="str">
        <f t="shared" si="7"/>
        <v>05070106</v>
      </c>
      <c r="F126" s="1" t="s">
        <v>1223</v>
      </c>
      <c r="G126" s="1" t="str">
        <f t="shared" si="12"/>
        <v>抽屉07立铣刀</v>
      </c>
      <c r="H126" t="str">
        <f t="shared" si="8"/>
        <v>行号01</v>
      </c>
      <c r="I126" s="1" t="str">
        <f t="shared" si="9"/>
        <v>序号06</v>
      </c>
      <c r="J126" s="38"/>
      <c r="K126" s="41"/>
      <c r="L126" s="41"/>
      <c r="M126" s="41">
        <v>0</v>
      </c>
      <c r="N126" s="41">
        <v>0</v>
      </c>
    </row>
    <row r="127" spans="1:16">
      <c r="A127" s="8" t="s">
        <v>22</v>
      </c>
      <c r="B127" s="9" t="s">
        <v>26</v>
      </c>
      <c r="C127" s="10" t="s">
        <v>14</v>
      </c>
      <c r="D127" s="8" t="s">
        <v>26</v>
      </c>
      <c r="E127" s="7" t="str">
        <f t="shared" si="7"/>
        <v>05070107</v>
      </c>
      <c r="F127" s="1" t="s">
        <v>1223</v>
      </c>
      <c r="G127" s="1" t="str">
        <f t="shared" si="12"/>
        <v>抽屉07立铣刀</v>
      </c>
      <c r="H127" t="str">
        <f t="shared" si="8"/>
        <v>行号01</v>
      </c>
      <c r="I127" s="1" t="str">
        <f t="shared" si="9"/>
        <v>序号07</v>
      </c>
      <c r="J127" s="38"/>
      <c r="K127" s="41"/>
      <c r="L127" s="41"/>
      <c r="M127" s="41">
        <v>0</v>
      </c>
      <c r="N127" s="41">
        <v>0</v>
      </c>
    </row>
    <row r="128" spans="1:16">
      <c r="A128" s="8" t="s">
        <v>22</v>
      </c>
      <c r="B128" s="9" t="s">
        <v>26</v>
      </c>
      <c r="C128" s="10" t="s">
        <v>14</v>
      </c>
      <c r="D128" s="8" t="s">
        <v>28</v>
      </c>
      <c r="E128" s="7" t="str">
        <f t="shared" si="7"/>
        <v>05070108</v>
      </c>
      <c r="F128" s="1" t="s">
        <v>1223</v>
      </c>
      <c r="G128" s="1" t="str">
        <f t="shared" si="12"/>
        <v>抽屉07立铣刀</v>
      </c>
      <c r="H128" t="str">
        <f t="shared" si="8"/>
        <v>行号01</v>
      </c>
      <c r="I128" s="1" t="str">
        <f t="shared" si="9"/>
        <v>序号08</v>
      </c>
      <c r="J128" s="38"/>
      <c r="K128" s="41"/>
      <c r="L128" s="41"/>
      <c r="M128" s="41">
        <v>0</v>
      </c>
      <c r="N128" s="41">
        <v>0</v>
      </c>
    </row>
    <row r="129" spans="1:15">
      <c r="A129" s="8" t="s">
        <v>22</v>
      </c>
      <c r="B129" s="9" t="s">
        <v>26</v>
      </c>
      <c r="C129" s="8" t="s">
        <v>16</v>
      </c>
      <c r="D129" s="11" t="s">
        <v>14</v>
      </c>
      <c r="E129" s="7" t="str">
        <f t="shared" si="7"/>
        <v>05070201</v>
      </c>
      <c r="F129" s="1" t="s">
        <v>1223</v>
      </c>
      <c r="G129" s="1" t="str">
        <f t="shared" si="12"/>
        <v>抽屉07立铣刀</v>
      </c>
      <c r="H129" t="str">
        <f t="shared" si="8"/>
        <v>行号02</v>
      </c>
      <c r="I129" s="1" t="str">
        <f t="shared" si="9"/>
        <v>序号01</v>
      </c>
      <c r="J129" t="s">
        <v>1006</v>
      </c>
      <c r="K129" s="39">
        <v>0</v>
      </c>
      <c r="L129" s="39">
        <v>5</v>
      </c>
      <c r="M129" s="39"/>
      <c r="N129" s="39"/>
      <c r="O129" s="17" t="s">
        <v>1232</v>
      </c>
    </row>
    <row r="130" spans="1:15">
      <c r="A130" s="8" t="s">
        <v>22</v>
      </c>
      <c r="B130" s="9" t="s">
        <v>26</v>
      </c>
      <c r="C130" s="8" t="s">
        <v>16</v>
      </c>
      <c r="D130" s="11" t="s">
        <v>16</v>
      </c>
      <c r="E130" s="7" t="str">
        <f t="shared" ref="E130:E193" si="13">A130&amp;B130&amp;C130&amp;D130</f>
        <v>05070202</v>
      </c>
      <c r="F130" s="1" t="s">
        <v>1223</v>
      </c>
      <c r="G130" s="1" t="str">
        <f t="shared" si="12"/>
        <v>抽屉07立铣刀</v>
      </c>
      <c r="H130" t="str">
        <f t="shared" ref="H130:H193" si="14">"行号"&amp;C130</f>
        <v>行号02</v>
      </c>
      <c r="I130" s="1" t="str">
        <f t="shared" ref="I130:I193" si="15">"序号"&amp;D130</f>
        <v>序号02</v>
      </c>
      <c r="J130" s="36" t="s">
        <v>1007</v>
      </c>
      <c r="K130" s="39">
        <v>0</v>
      </c>
      <c r="L130" s="39">
        <v>5</v>
      </c>
      <c r="M130" s="39"/>
      <c r="N130" s="39"/>
      <c r="O130" s="17" t="s">
        <v>1232</v>
      </c>
    </row>
    <row r="131" spans="1:15">
      <c r="A131" s="8" t="s">
        <v>22</v>
      </c>
      <c r="B131" s="9" t="s">
        <v>26</v>
      </c>
      <c r="C131" s="8" t="s">
        <v>16</v>
      </c>
      <c r="D131" s="11" t="s">
        <v>18</v>
      </c>
      <c r="E131" s="7" t="str">
        <f t="shared" si="13"/>
        <v>05070203</v>
      </c>
      <c r="F131" s="1" t="s">
        <v>1223</v>
      </c>
      <c r="G131" s="1" t="str">
        <f t="shared" si="12"/>
        <v>抽屉07立铣刀</v>
      </c>
      <c r="H131" t="str">
        <f t="shared" si="14"/>
        <v>行号02</v>
      </c>
      <c r="I131" s="1" t="str">
        <f t="shared" si="15"/>
        <v>序号03</v>
      </c>
      <c r="J131" s="36" t="s">
        <v>1008</v>
      </c>
      <c r="K131" s="39">
        <v>0</v>
      </c>
      <c r="L131" s="39">
        <v>5</v>
      </c>
      <c r="M131" s="39"/>
      <c r="N131" s="39"/>
      <c r="O131" s="17" t="s">
        <v>1232</v>
      </c>
    </row>
    <row r="132" spans="1:15">
      <c r="A132" s="8" t="s">
        <v>22</v>
      </c>
      <c r="B132" s="9" t="s">
        <v>26</v>
      </c>
      <c r="C132" s="8" t="s">
        <v>16</v>
      </c>
      <c r="D132" s="11" t="s">
        <v>20</v>
      </c>
      <c r="E132" s="7" t="str">
        <f t="shared" si="13"/>
        <v>05070204</v>
      </c>
      <c r="F132" s="1" t="s">
        <v>1223</v>
      </c>
      <c r="G132" s="1" t="str">
        <f t="shared" si="12"/>
        <v>抽屉07立铣刀</v>
      </c>
      <c r="H132" t="str">
        <f t="shared" si="14"/>
        <v>行号02</v>
      </c>
      <c r="I132" s="1" t="str">
        <f t="shared" si="15"/>
        <v>序号04</v>
      </c>
      <c r="J132" s="38"/>
      <c r="K132" s="41"/>
      <c r="L132" s="41"/>
      <c r="M132" s="41">
        <v>0</v>
      </c>
      <c r="N132" s="41">
        <v>0</v>
      </c>
    </row>
    <row r="133" spans="1:15">
      <c r="A133" s="8" t="s">
        <v>22</v>
      </c>
      <c r="B133" s="9" t="s">
        <v>26</v>
      </c>
      <c r="C133" s="8" t="s">
        <v>16</v>
      </c>
      <c r="D133" s="11" t="s">
        <v>22</v>
      </c>
      <c r="E133" s="7" t="str">
        <f t="shared" si="13"/>
        <v>05070205</v>
      </c>
      <c r="F133" s="1" t="s">
        <v>1223</v>
      </c>
      <c r="G133" s="1" t="str">
        <f t="shared" si="12"/>
        <v>抽屉07立铣刀</v>
      </c>
      <c r="H133" t="str">
        <f t="shared" si="14"/>
        <v>行号02</v>
      </c>
      <c r="I133" s="1" t="str">
        <f t="shared" si="15"/>
        <v>序号05</v>
      </c>
      <c r="J133" s="38"/>
      <c r="K133" s="41"/>
      <c r="L133" s="41"/>
      <c r="M133" s="41">
        <v>0</v>
      </c>
      <c r="N133" s="41">
        <v>0</v>
      </c>
    </row>
    <row r="134" spans="1:15">
      <c r="A134" s="8" t="s">
        <v>22</v>
      </c>
      <c r="B134" s="9" t="s">
        <v>26</v>
      </c>
      <c r="C134" s="8" t="s">
        <v>16</v>
      </c>
      <c r="D134" s="11" t="s">
        <v>24</v>
      </c>
      <c r="E134" s="7" t="str">
        <f t="shared" si="13"/>
        <v>05070206</v>
      </c>
      <c r="F134" s="1" t="s">
        <v>1223</v>
      </c>
      <c r="G134" s="1" t="str">
        <f t="shared" si="12"/>
        <v>抽屉07立铣刀</v>
      </c>
      <c r="H134" t="str">
        <f t="shared" si="14"/>
        <v>行号02</v>
      </c>
      <c r="I134" s="1" t="str">
        <f t="shared" si="15"/>
        <v>序号06</v>
      </c>
      <c r="J134" s="38"/>
      <c r="K134" s="41"/>
      <c r="L134" s="41"/>
      <c r="M134" s="41">
        <v>0</v>
      </c>
      <c r="N134" s="41">
        <v>0</v>
      </c>
    </row>
    <row r="135" spans="1:15">
      <c r="A135" s="8" t="s">
        <v>22</v>
      </c>
      <c r="B135" s="9" t="s">
        <v>26</v>
      </c>
      <c r="C135" s="8" t="s">
        <v>16</v>
      </c>
      <c r="D135" s="11" t="s">
        <v>26</v>
      </c>
      <c r="E135" s="7" t="str">
        <f t="shared" si="13"/>
        <v>05070207</v>
      </c>
      <c r="F135" s="1" t="s">
        <v>1223</v>
      </c>
      <c r="G135" s="1" t="str">
        <f t="shared" si="12"/>
        <v>抽屉07立铣刀</v>
      </c>
      <c r="H135" t="str">
        <f t="shared" si="14"/>
        <v>行号02</v>
      </c>
      <c r="I135" s="1" t="str">
        <f t="shared" si="15"/>
        <v>序号07</v>
      </c>
      <c r="J135" s="24"/>
      <c r="K135" s="41"/>
      <c r="L135" s="41"/>
      <c r="M135" s="41">
        <v>0</v>
      </c>
      <c r="N135" s="41">
        <v>0</v>
      </c>
    </row>
    <row r="136" spans="1:15">
      <c r="A136" s="8" t="s">
        <v>22</v>
      </c>
      <c r="B136" s="9" t="s">
        <v>26</v>
      </c>
      <c r="C136" s="8" t="s">
        <v>16</v>
      </c>
      <c r="D136" s="11" t="s">
        <v>28</v>
      </c>
      <c r="E136" s="7" t="str">
        <f t="shared" si="13"/>
        <v>05070208</v>
      </c>
      <c r="F136" s="1" t="s">
        <v>1223</v>
      </c>
      <c r="G136" s="1" t="str">
        <f t="shared" si="12"/>
        <v>抽屉07立铣刀</v>
      </c>
      <c r="H136" t="str">
        <f t="shared" si="14"/>
        <v>行号02</v>
      </c>
      <c r="I136" s="1" t="str">
        <f t="shared" si="15"/>
        <v>序号08</v>
      </c>
      <c r="J136" s="24"/>
      <c r="K136" s="41"/>
      <c r="L136" s="41"/>
      <c r="M136" s="41">
        <v>0</v>
      </c>
      <c r="N136" s="41">
        <v>0</v>
      </c>
    </row>
    <row r="137" spans="1:15">
      <c r="A137" s="8" t="s">
        <v>22</v>
      </c>
      <c r="B137" s="9" t="s">
        <v>26</v>
      </c>
      <c r="C137" s="10" t="s">
        <v>18</v>
      </c>
      <c r="D137" s="8" t="s">
        <v>14</v>
      </c>
      <c r="E137" s="7" t="str">
        <f t="shared" si="13"/>
        <v>05070301</v>
      </c>
      <c r="F137" s="1" t="s">
        <v>1223</v>
      </c>
      <c r="G137" s="1" t="str">
        <f t="shared" si="12"/>
        <v>抽屉07立铣刀</v>
      </c>
      <c r="H137" t="str">
        <f t="shared" si="14"/>
        <v>行号03</v>
      </c>
      <c r="I137" s="1" t="str">
        <f t="shared" si="15"/>
        <v>序号01</v>
      </c>
      <c r="J137" s="24"/>
      <c r="K137" s="41"/>
      <c r="L137" s="41"/>
      <c r="M137" s="41">
        <v>0</v>
      </c>
      <c r="N137" s="41">
        <v>0</v>
      </c>
    </row>
    <row r="138" spans="1:15">
      <c r="A138" s="8" t="s">
        <v>22</v>
      </c>
      <c r="B138" s="9" t="s">
        <v>26</v>
      </c>
      <c r="C138" s="10" t="s">
        <v>18</v>
      </c>
      <c r="D138" s="8" t="s">
        <v>16</v>
      </c>
      <c r="E138" s="7" t="str">
        <f t="shared" si="13"/>
        <v>05070302</v>
      </c>
      <c r="F138" s="1" t="s">
        <v>1223</v>
      </c>
      <c r="G138" s="1" t="str">
        <f t="shared" si="12"/>
        <v>抽屉07立铣刀</v>
      </c>
      <c r="H138" t="str">
        <f t="shared" si="14"/>
        <v>行号03</v>
      </c>
      <c r="I138" s="1" t="str">
        <f t="shared" si="15"/>
        <v>序号02</v>
      </c>
      <c r="J138" s="38"/>
      <c r="K138" s="41"/>
      <c r="L138" s="41"/>
      <c r="M138" s="41">
        <v>0</v>
      </c>
      <c r="N138" s="41">
        <v>0</v>
      </c>
    </row>
    <row r="139" spans="1:15">
      <c r="A139" s="8" t="s">
        <v>22</v>
      </c>
      <c r="B139" s="9" t="s">
        <v>26</v>
      </c>
      <c r="C139" s="10" t="s">
        <v>18</v>
      </c>
      <c r="D139" s="8" t="s">
        <v>18</v>
      </c>
      <c r="E139" s="7" t="str">
        <f t="shared" si="13"/>
        <v>05070303</v>
      </c>
      <c r="F139" s="1" t="s">
        <v>1223</v>
      </c>
      <c r="G139" s="1" t="str">
        <f t="shared" si="12"/>
        <v>抽屉07立铣刀</v>
      </c>
      <c r="H139" t="str">
        <f t="shared" si="14"/>
        <v>行号03</v>
      </c>
      <c r="I139" s="1" t="str">
        <f t="shared" si="15"/>
        <v>序号03</v>
      </c>
      <c r="J139" s="38"/>
      <c r="K139" s="41"/>
      <c r="L139" s="41"/>
      <c r="M139" s="41">
        <v>0</v>
      </c>
      <c r="N139" s="41">
        <v>0</v>
      </c>
    </row>
    <row r="140" spans="1:15">
      <c r="A140" s="8" t="s">
        <v>22</v>
      </c>
      <c r="B140" s="9" t="s">
        <v>26</v>
      </c>
      <c r="C140" s="10" t="s">
        <v>18</v>
      </c>
      <c r="D140" s="8" t="s">
        <v>20</v>
      </c>
      <c r="E140" s="7" t="str">
        <f t="shared" si="13"/>
        <v>05070304</v>
      </c>
      <c r="F140" s="1" t="s">
        <v>1223</v>
      </c>
      <c r="G140" s="1" t="str">
        <f t="shared" si="12"/>
        <v>抽屉07立铣刀</v>
      </c>
      <c r="H140" t="str">
        <f t="shared" si="14"/>
        <v>行号03</v>
      </c>
      <c r="I140" s="1" t="str">
        <f t="shared" si="15"/>
        <v>序号04</v>
      </c>
      <c r="J140" s="38"/>
      <c r="K140" s="41"/>
      <c r="L140" s="41"/>
      <c r="M140" s="41">
        <v>0</v>
      </c>
      <c r="N140" s="41">
        <v>0</v>
      </c>
    </row>
    <row r="141" spans="1:15">
      <c r="A141" s="8" t="s">
        <v>22</v>
      </c>
      <c r="B141" s="9" t="s">
        <v>26</v>
      </c>
      <c r="C141" s="10" t="s">
        <v>18</v>
      </c>
      <c r="D141" s="8" t="s">
        <v>22</v>
      </c>
      <c r="E141" s="7" t="str">
        <f t="shared" si="13"/>
        <v>05070305</v>
      </c>
      <c r="F141" s="1" t="s">
        <v>1223</v>
      </c>
      <c r="G141" s="1" t="str">
        <f t="shared" si="12"/>
        <v>抽屉07立铣刀</v>
      </c>
      <c r="H141" t="str">
        <f t="shared" si="14"/>
        <v>行号03</v>
      </c>
      <c r="I141" s="1" t="str">
        <f t="shared" si="15"/>
        <v>序号05</v>
      </c>
      <c r="J141" s="38"/>
      <c r="K141" s="41"/>
      <c r="L141" s="41"/>
      <c r="M141" s="41">
        <v>0</v>
      </c>
      <c r="N141" s="41">
        <v>0</v>
      </c>
    </row>
    <row r="142" spans="1:15">
      <c r="A142" s="8" t="s">
        <v>22</v>
      </c>
      <c r="B142" s="9" t="s">
        <v>26</v>
      </c>
      <c r="C142" s="10" t="s">
        <v>18</v>
      </c>
      <c r="D142" s="8" t="s">
        <v>24</v>
      </c>
      <c r="E142" s="7" t="str">
        <f t="shared" si="13"/>
        <v>05070306</v>
      </c>
      <c r="F142" s="1" t="s">
        <v>1223</v>
      </c>
      <c r="G142" s="1" t="str">
        <f t="shared" si="12"/>
        <v>抽屉07立铣刀</v>
      </c>
      <c r="H142" t="str">
        <f t="shared" si="14"/>
        <v>行号03</v>
      </c>
      <c r="I142" s="1" t="str">
        <f t="shared" si="15"/>
        <v>序号06</v>
      </c>
      <c r="J142" s="54"/>
      <c r="K142" s="41"/>
      <c r="L142" s="41"/>
      <c r="M142" s="41">
        <v>0</v>
      </c>
      <c r="N142" s="41">
        <v>0</v>
      </c>
    </row>
    <row r="143" spans="1:15">
      <c r="A143" s="8" t="s">
        <v>22</v>
      </c>
      <c r="B143" s="9" t="s">
        <v>26</v>
      </c>
      <c r="C143" s="10" t="s">
        <v>18</v>
      </c>
      <c r="D143" s="8" t="s">
        <v>26</v>
      </c>
      <c r="E143" s="7" t="str">
        <f t="shared" si="13"/>
        <v>05070307</v>
      </c>
      <c r="F143" s="1" t="s">
        <v>1223</v>
      </c>
      <c r="G143" s="1" t="str">
        <f t="shared" si="12"/>
        <v>抽屉07立铣刀</v>
      </c>
      <c r="H143" t="str">
        <f t="shared" si="14"/>
        <v>行号03</v>
      </c>
      <c r="I143" s="1" t="str">
        <f t="shared" si="15"/>
        <v>序号07</v>
      </c>
      <c r="J143" s="38"/>
      <c r="K143" s="41"/>
      <c r="L143" s="41"/>
      <c r="M143" s="41">
        <v>0</v>
      </c>
      <c r="N143" s="41">
        <v>0</v>
      </c>
    </row>
    <row r="144" spans="1:15">
      <c r="A144" s="8" t="s">
        <v>22</v>
      </c>
      <c r="B144" s="9" t="s">
        <v>26</v>
      </c>
      <c r="C144" s="10" t="s">
        <v>18</v>
      </c>
      <c r="D144" s="8" t="s">
        <v>28</v>
      </c>
      <c r="E144" s="7" t="str">
        <f t="shared" si="13"/>
        <v>05070308</v>
      </c>
      <c r="F144" s="1" t="s">
        <v>1223</v>
      </c>
      <c r="G144" s="1" t="str">
        <f t="shared" si="12"/>
        <v>抽屉07立铣刀</v>
      </c>
      <c r="H144" t="str">
        <f t="shared" si="14"/>
        <v>行号03</v>
      </c>
      <c r="I144" s="1" t="str">
        <f t="shared" si="15"/>
        <v>序号08</v>
      </c>
      <c r="J144" s="24"/>
      <c r="K144" s="41"/>
      <c r="L144" s="41"/>
      <c r="M144" s="41">
        <v>0</v>
      </c>
      <c r="N144" s="41">
        <v>0</v>
      </c>
    </row>
    <row r="145" spans="1:15">
      <c r="A145" s="8" t="s">
        <v>22</v>
      </c>
      <c r="B145" s="9" t="s">
        <v>26</v>
      </c>
      <c r="C145" s="8" t="s">
        <v>20</v>
      </c>
      <c r="D145" s="11" t="s">
        <v>14</v>
      </c>
      <c r="E145" s="7" t="str">
        <f t="shared" si="13"/>
        <v>05070401</v>
      </c>
      <c r="F145" s="1" t="s">
        <v>1223</v>
      </c>
      <c r="G145" s="1" t="str">
        <f t="shared" si="12"/>
        <v>抽屉07立铣刀</v>
      </c>
      <c r="H145" t="str">
        <f t="shared" si="14"/>
        <v>行号04</v>
      </c>
      <c r="I145" s="1" t="str">
        <f t="shared" si="15"/>
        <v>序号01</v>
      </c>
      <c r="J145" s="24"/>
      <c r="K145" s="41"/>
      <c r="L145" s="41"/>
      <c r="M145" s="41">
        <v>0</v>
      </c>
      <c r="N145" s="41">
        <v>0</v>
      </c>
    </row>
    <row r="146" spans="1:15">
      <c r="A146" s="8" t="s">
        <v>22</v>
      </c>
      <c r="B146" s="9" t="s">
        <v>26</v>
      </c>
      <c r="C146" s="8" t="s">
        <v>20</v>
      </c>
      <c r="D146" s="11" t="s">
        <v>16</v>
      </c>
      <c r="E146" s="7" t="str">
        <f t="shared" si="13"/>
        <v>05070402</v>
      </c>
      <c r="F146" s="1" t="s">
        <v>1223</v>
      </c>
      <c r="G146" s="1" t="str">
        <f t="shared" si="12"/>
        <v>抽屉07立铣刀</v>
      </c>
      <c r="H146" t="str">
        <f t="shared" si="14"/>
        <v>行号04</v>
      </c>
      <c r="I146" s="1" t="str">
        <f t="shared" si="15"/>
        <v>序号02</v>
      </c>
      <c r="J146" s="38"/>
      <c r="K146" s="41"/>
      <c r="L146" s="41"/>
      <c r="M146" s="41">
        <v>0</v>
      </c>
      <c r="N146" s="41">
        <v>0</v>
      </c>
    </row>
    <row r="147" spans="1:15">
      <c r="A147" s="8" t="s">
        <v>22</v>
      </c>
      <c r="B147" s="9" t="s">
        <v>26</v>
      </c>
      <c r="C147" s="8" t="s">
        <v>20</v>
      </c>
      <c r="D147" s="11" t="s">
        <v>18</v>
      </c>
      <c r="E147" s="7" t="str">
        <f t="shared" si="13"/>
        <v>05070403</v>
      </c>
      <c r="F147" s="1" t="s">
        <v>1223</v>
      </c>
      <c r="G147" s="1" t="str">
        <f t="shared" si="12"/>
        <v>抽屉07立铣刀</v>
      </c>
      <c r="H147" t="str">
        <f t="shared" si="14"/>
        <v>行号04</v>
      </c>
      <c r="I147" s="1" t="str">
        <f t="shared" si="15"/>
        <v>序号03</v>
      </c>
      <c r="J147" s="38"/>
      <c r="K147" s="41"/>
      <c r="L147" s="41"/>
      <c r="M147" s="41">
        <v>0</v>
      </c>
      <c r="N147" s="41">
        <v>0</v>
      </c>
    </row>
    <row r="148" spans="1:15">
      <c r="A148" s="8" t="s">
        <v>22</v>
      </c>
      <c r="B148" s="9" t="s">
        <v>26</v>
      </c>
      <c r="C148" s="8" t="s">
        <v>20</v>
      </c>
      <c r="D148" s="11" t="s">
        <v>20</v>
      </c>
      <c r="E148" s="7" t="str">
        <f t="shared" si="13"/>
        <v>05070404</v>
      </c>
      <c r="F148" s="1" t="s">
        <v>1223</v>
      </c>
      <c r="G148" s="1" t="str">
        <f t="shared" si="12"/>
        <v>抽屉07立铣刀</v>
      </c>
      <c r="H148" t="str">
        <f t="shared" si="14"/>
        <v>行号04</v>
      </c>
      <c r="I148" s="1" t="str">
        <f t="shared" si="15"/>
        <v>序号04</v>
      </c>
      <c r="J148" s="38"/>
      <c r="K148" s="41"/>
      <c r="L148" s="41"/>
      <c r="M148" s="41">
        <v>0</v>
      </c>
      <c r="N148" s="41">
        <v>0</v>
      </c>
    </row>
    <row r="149" spans="1:15">
      <c r="A149" s="8" t="s">
        <v>22</v>
      </c>
      <c r="B149" s="9" t="s">
        <v>26</v>
      </c>
      <c r="C149" s="8" t="s">
        <v>20</v>
      </c>
      <c r="D149" s="11" t="s">
        <v>22</v>
      </c>
      <c r="E149" s="7" t="str">
        <f t="shared" si="13"/>
        <v>05070405</v>
      </c>
      <c r="F149" s="1" t="s">
        <v>1223</v>
      </c>
      <c r="G149" s="1" t="str">
        <f t="shared" si="12"/>
        <v>抽屉07立铣刀</v>
      </c>
      <c r="H149" t="str">
        <f t="shared" si="14"/>
        <v>行号04</v>
      </c>
      <c r="I149" s="1" t="str">
        <f t="shared" si="15"/>
        <v>序号05</v>
      </c>
      <c r="J149" s="38"/>
      <c r="K149" s="41"/>
      <c r="L149" s="41"/>
      <c r="M149" s="41">
        <v>0</v>
      </c>
      <c r="N149" s="41">
        <v>0</v>
      </c>
    </row>
    <row r="150" spans="1:15">
      <c r="A150" s="8" t="s">
        <v>22</v>
      </c>
      <c r="B150" s="9" t="s">
        <v>26</v>
      </c>
      <c r="C150" s="8" t="s">
        <v>20</v>
      </c>
      <c r="D150" s="11" t="s">
        <v>24</v>
      </c>
      <c r="E150" s="7" t="str">
        <f t="shared" si="13"/>
        <v>05070406</v>
      </c>
      <c r="F150" s="1" t="s">
        <v>1223</v>
      </c>
      <c r="G150" s="1" t="str">
        <f t="shared" si="12"/>
        <v>抽屉07立铣刀</v>
      </c>
      <c r="H150" t="str">
        <f t="shared" si="14"/>
        <v>行号04</v>
      </c>
      <c r="I150" s="1" t="str">
        <f t="shared" si="15"/>
        <v>序号06</v>
      </c>
      <c r="J150" s="38"/>
      <c r="K150" s="41"/>
      <c r="L150" s="41"/>
      <c r="M150" s="41">
        <v>0</v>
      </c>
      <c r="N150" s="41">
        <v>0</v>
      </c>
    </row>
    <row r="151" spans="1:15">
      <c r="A151" s="8" t="s">
        <v>22</v>
      </c>
      <c r="B151" s="9" t="s">
        <v>26</v>
      </c>
      <c r="C151" s="8" t="s">
        <v>20</v>
      </c>
      <c r="D151" s="11" t="s">
        <v>26</v>
      </c>
      <c r="E151" s="7" t="str">
        <f t="shared" si="13"/>
        <v>05070407</v>
      </c>
      <c r="F151" s="1" t="s">
        <v>1223</v>
      </c>
      <c r="G151" s="1" t="str">
        <f t="shared" si="12"/>
        <v>抽屉07立铣刀</v>
      </c>
      <c r="H151" t="str">
        <f t="shared" si="14"/>
        <v>行号04</v>
      </c>
      <c r="I151" s="1" t="str">
        <f t="shared" si="15"/>
        <v>序号07</v>
      </c>
      <c r="J151" s="38"/>
      <c r="K151" s="41"/>
      <c r="L151" s="41"/>
      <c r="M151" s="41">
        <v>0</v>
      </c>
      <c r="N151" s="41">
        <v>0</v>
      </c>
    </row>
    <row r="152" spans="1:15">
      <c r="A152" s="8" t="s">
        <v>22</v>
      </c>
      <c r="B152" s="9" t="s">
        <v>26</v>
      </c>
      <c r="C152" s="8" t="s">
        <v>20</v>
      </c>
      <c r="D152" s="11" t="s">
        <v>28</v>
      </c>
      <c r="E152" s="7" t="str">
        <f t="shared" si="13"/>
        <v>05070408</v>
      </c>
      <c r="F152" s="1" t="s">
        <v>1223</v>
      </c>
      <c r="G152" s="1" t="str">
        <f t="shared" si="12"/>
        <v>抽屉07立铣刀</v>
      </c>
      <c r="H152" t="str">
        <f t="shared" si="14"/>
        <v>行号04</v>
      </c>
      <c r="I152" s="1" t="str">
        <f t="shared" si="15"/>
        <v>序号08</v>
      </c>
      <c r="J152" s="38"/>
      <c r="K152" s="41"/>
      <c r="L152" s="41"/>
      <c r="M152" s="41">
        <v>0</v>
      </c>
      <c r="N152" s="41">
        <v>0</v>
      </c>
    </row>
    <row r="153" spans="1:15">
      <c r="A153" s="8" t="s">
        <v>22</v>
      </c>
      <c r="B153" s="8" t="s">
        <v>28</v>
      </c>
      <c r="C153" s="10" t="s">
        <v>14</v>
      </c>
      <c r="D153" s="8" t="s">
        <v>14</v>
      </c>
      <c r="E153" s="7" t="str">
        <f t="shared" si="13"/>
        <v>05080101</v>
      </c>
      <c r="F153" s="1" t="s">
        <v>1223</v>
      </c>
      <c r="G153" s="1" t="str">
        <f>"抽屉"&amp;B153&amp;"螺纹铣刀"</f>
        <v>抽屉08螺纹铣刀</v>
      </c>
      <c r="H153" t="str">
        <f t="shared" si="14"/>
        <v>行号01</v>
      </c>
      <c r="I153" s="1" t="str">
        <f t="shared" si="15"/>
        <v>序号01</v>
      </c>
      <c r="J153" t="s">
        <v>1009</v>
      </c>
      <c r="K153" s="39">
        <v>0</v>
      </c>
      <c r="L153" s="39">
        <v>5</v>
      </c>
      <c r="M153" s="39"/>
      <c r="N153" s="39"/>
      <c r="O153" s="39" t="s">
        <v>1265</v>
      </c>
    </row>
    <row r="154" spans="1:15">
      <c r="A154" s="8" t="s">
        <v>22</v>
      </c>
      <c r="B154" s="8" t="s">
        <v>28</v>
      </c>
      <c r="C154" s="10" t="s">
        <v>14</v>
      </c>
      <c r="D154" s="8" t="s">
        <v>16</v>
      </c>
      <c r="E154" s="7" t="str">
        <f t="shared" si="13"/>
        <v>05080102</v>
      </c>
      <c r="F154" s="1" t="s">
        <v>1223</v>
      </c>
      <c r="G154" s="1" t="str">
        <f t="shared" ref="G154:G181" si="16">"抽屉"&amp;B154&amp;"螺纹铣刀"</f>
        <v>抽屉08螺纹铣刀</v>
      </c>
      <c r="H154" t="str">
        <f t="shared" si="14"/>
        <v>行号01</v>
      </c>
      <c r="I154" s="1" t="str">
        <f t="shared" si="15"/>
        <v>序号02</v>
      </c>
      <c r="J154" s="36" t="s">
        <v>1010</v>
      </c>
      <c r="K154" s="39">
        <v>0</v>
      </c>
      <c r="L154" s="39">
        <v>5</v>
      </c>
      <c r="M154" s="39"/>
      <c r="N154" s="39"/>
      <c r="O154" s="39" t="s">
        <v>1265</v>
      </c>
    </row>
    <row r="155" spans="1:15">
      <c r="A155" s="8" t="s">
        <v>22</v>
      </c>
      <c r="B155" s="8" t="s">
        <v>28</v>
      </c>
      <c r="C155" s="10" t="s">
        <v>14</v>
      </c>
      <c r="D155" s="8" t="s">
        <v>18</v>
      </c>
      <c r="E155" s="7" t="str">
        <f t="shared" si="13"/>
        <v>05080103</v>
      </c>
      <c r="F155" s="1" t="s">
        <v>1223</v>
      </c>
      <c r="G155" s="1" t="str">
        <f t="shared" si="16"/>
        <v>抽屉08螺纹铣刀</v>
      </c>
      <c r="H155" t="str">
        <f t="shared" si="14"/>
        <v>行号01</v>
      </c>
      <c r="I155" s="1" t="str">
        <f t="shared" si="15"/>
        <v>序号03</v>
      </c>
      <c r="J155" s="36" t="s">
        <v>1011</v>
      </c>
      <c r="K155" s="39">
        <v>0</v>
      </c>
      <c r="L155" s="39">
        <v>5</v>
      </c>
      <c r="M155" s="39"/>
      <c r="N155" s="39"/>
      <c r="O155" s="39" t="s">
        <v>1266</v>
      </c>
    </row>
    <row r="156" spans="1:15">
      <c r="A156" s="8" t="s">
        <v>22</v>
      </c>
      <c r="B156" s="8" t="s">
        <v>28</v>
      </c>
      <c r="C156" s="10" t="s">
        <v>14</v>
      </c>
      <c r="D156" s="8" t="s">
        <v>20</v>
      </c>
      <c r="E156" s="7" t="str">
        <f t="shared" si="13"/>
        <v>05080104</v>
      </c>
      <c r="F156" s="1" t="s">
        <v>1223</v>
      </c>
      <c r="G156" s="1" t="str">
        <f t="shared" si="16"/>
        <v>抽屉08螺纹铣刀</v>
      </c>
      <c r="H156" t="str">
        <f t="shared" si="14"/>
        <v>行号01</v>
      </c>
      <c r="I156" s="1" t="str">
        <f t="shared" si="15"/>
        <v>序号04</v>
      </c>
      <c r="J156" s="36" t="s">
        <v>1012</v>
      </c>
      <c r="K156" s="39">
        <v>0</v>
      </c>
      <c r="L156" s="39">
        <v>5</v>
      </c>
      <c r="M156" s="39"/>
      <c r="N156" s="39"/>
      <c r="O156" s="39" t="s">
        <v>1265</v>
      </c>
    </row>
    <row r="157" spans="1:15">
      <c r="A157" s="8" t="s">
        <v>22</v>
      </c>
      <c r="B157" s="8" t="s">
        <v>28</v>
      </c>
      <c r="C157" s="10" t="s">
        <v>14</v>
      </c>
      <c r="D157" s="8" t="s">
        <v>22</v>
      </c>
      <c r="E157" s="7" t="str">
        <f t="shared" si="13"/>
        <v>05080105</v>
      </c>
      <c r="F157" s="1" t="s">
        <v>1223</v>
      </c>
      <c r="G157" s="1" t="str">
        <f t="shared" si="16"/>
        <v>抽屉08螺纹铣刀</v>
      </c>
      <c r="H157" t="str">
        <f t="shared" si="14"/>
        <v>行号01</v>
      </c>
      <c r="I157" s="1" t="str">
        <f t="shared" si="15"/>
        <v>序号05</v>
      </c>
      <c r="J157" s="36" t="s">
        <v>1013</v>
      </c>
      <c r="K157" s="39">
        <v>0</v>
      </c>
      <c r="L157" s="39">
        <v>5</v>
      </c>
      <c r="M157" s="39"/>
      <c r="N157" s="39"/>
      <c r="O157" s="39" t="s">
        <v>1265</v>
      </c>
    </row>
    <row r="158" spans="1:15">
      <c r="A158" s="8" t="s">
        <v>22</v>
      </c>
      <c r="B158" s="8" t="s">
        <v>28</v>
      </c>
      <c r="C158" s="10" t="s">
        <v>14</v>
      </c>
      <c r="D158" s="8" t="s">
        <v>24</v>
      </c>
      <c r="E158" s="7" t="str">
        <f t="shared" si="13"/>
        <v>05080106</v>
      </c>
      <c r="F158" s="1" t="s">
        <v>1223</v>
      </c>
      <c r="G158" s="1" t="str">
        <f t="shared" si="16"/>
        <v>抽屉08螺纹铣刀</v>
      </c>
      <c r="H158" t="str">
        <f t="shared" si="14"/>
        <v>行号01</v>
      </c>
      <c r="I158" s="1" t="str">
        <f t="shared" si="15"/>
        <v>序号06</v>
      </c>
      <c r="J158" s="36" t="s">
        <v>1014</v>
      </c>
      <c r="K158" s="39">
        <v>0</v>
      </c>
      <c r="L158" s="39">
        <v>5</v>
      </c>
      <c r="M158" s="39"/>
      <c r="N158" s="39"/>
      <c r="O158" s="39" t="s">
        <v>1265</v>
      </c>
    </row>
    <row r="159" spans="1:15">
      <c r="A159" s="8" t="s">
        <v>22</v>
      </c>
      <c r="B159" s="8" t="s">
        <v>28</v>
      </c>
      <c r="C159" s="10" t="s">
        <v>14</v>
      </c>
      <c r="D159" s="8" t="s">
        <v>26</v>
      </c>
      <c r="E159" s="7" t="str">
        <f t="shared" si="13"/>
        <v>05080107</v>
      </c>
      <c r="F159" s="1" t="s">
        <v>1223</v>
      </c>
      <c r="G159" s="1" t="str">
        <f t="shared" si="16"/>
        <v>抽屉08螺纹铣刀</v>
      </c>
      <c r="H159" t="str">
        <f t="shared" si="14"/>
        <v>行号01</v>
      </c>
      <c r="I159" s="1" t="str">
        <f t="shared" si="15"/>
        <v>序号07</v>
      </c>
      <c r="J159" s="55" t="s">
        <v>1015</v>
      </c>
      <c r="K159" s="39">
        <v>0</v>
      </c>
      <c r="L159" s="39">
        <v>5</v>
      </c>
      <c r="M159" s="39"/>
      <c r="N159" s="39"/>
      <c r="O159" s="39" t="s">
        <v>1265</v>
      </c>
    </row>
    <row r="160" spans="1:15">
      <c r="A160" s="8" t="s">
        <v>22</v>
      </c>
      <c r="B160" s="8" t="s">
        <v>28</v>
      </c>
      <c r="C160" s="10" t="s">
        <v>14</v>
      </c>
      <c r="D160" s="8" t="s">
        <v>28</v>
      </c>
      <c r="E160" s="7" t="str">
        <f t="shared" si="13"/>
        <v>05080108</v>
      </c>
      <c r="F160" s="1" t="s">
        <v>1223</v>
      </c>
      <c r="G160" s="1" t="str">
        <f t="shared" si="16"/>
        <v>抽屉08螺纹铣刀</v>
      </c>
      <c r="H160" t="str">
        <f t="shared" si="14"/>
        <v>行号01</v>
      </c>
      <c r="I160" s="1" t="str">
        <f t="shared" si="15"/>
        <v>序号08</v>
      </c>
      <c r="J160" s="36" t="s">
        <v>1016</v>
      </c>
      <c r="K160" s="39">
        <v>0</v>
      </c>
      <c r="L160" s="39">
        <v>5</v>
      </c>
      <c r="M160" s="39"/>
      <c r="N160" s="39"/>
      <c r="O160" s="39" t="s">
        <v>1265</v>
      </c>
    </row>
    <row r="161" spans="1:15">
      <c r="A161" s="8" t="s">
        <v>22</v>
      </c>
      <c r="B161" s="8" t="s">
        <v>28</v>
      </c>
      <c r="C161" s="8" t="s">
        <v>16</v>
      </c>
      <c r="D161" s="11" t="s">
        <v>14</v>
      </c>
      <c r="E161" s="7" t="str">
        <f t="shared" si="13"/>
        <v>05080201</v>
      </c>
      <c r="F161" s="1" t="s">
        <v>1223</v>
      </c>
      <c r="G161" s="1" t="str">
        <f t="shared" si="16"/>
        <v>抽屉08螺纹铣刀</v>
      </c>
      <c r="H161" t="str">
        <f t="shared" si="14"/>
        <v>行号02</v>
      </c>
      <c r="I161" s="1" t="str">
        <f t="shared" si="15"/>
        <v>序号01</v>
      </c>
      <c r="J161" t="s">
        <v>1017</v>
      </c>
      <c r="K161" s="39">
        <v>0</v>
      </c>
      <c r="L161" s="39">
        <v>5</v>
      </c>
      <c r="M161" s="39"/>
      <c r="N161" s="39"/>
      <c r="O161" s="39" t="s">
        <v>1266</v>
      </c>
    </row>
    <row r="162" spans="1:15">
      <c r="A162" s="8" t="s">
        <v>22</v>
      </c>
      <c r="B162" s="8" t="s">
        <v>28</v>
      </c>
      <c r="C162" s="8" t="s">
        <v>16</v>
      </c>
      <c r="D162" s="11" t="s">
        <v>18</v>
      </c>
      <c r="E162" s="7" t="str">
        <f t="shared" si="13"/>
        <v>05080203</v>
      </c>
      <c r="F162" s="1" t="s">
        <v>1223</v>
      </c>
      <c r="G162" s="1" t="str">
        <f t="shared" si="16"/>
        <v>抽屉08螺纹铣刀</v>
      </c>
      <c r="H162" t="str">
        <f t="shared" si="14"/>
        <v>行号02</v>
      </c>
      <c r="I162" s="1" t="str">
        <f t="shared" si="15"/>
        <v>序号03</v>
      </c>
      <c r="J162" s="36" t="s">
        <v>1018</v>
      </c>
      <c r="K162" s="39">
        <v>0</v>
      </c>
      <c r="L162" s="39">
        <v>5</v>
      </c>
      <c r="M162" s="39"/>
      <c r="N162" s="39"/>
      <c r="O162" s="39" t="s">
        <v>1265</v>
      </c>
    </row>
    <row r="163" spans="1:15">
      <c r="A163" s="8" t="s">
        <v>22</v>
      </c>
      <c r="B163" s="8" t="s">
        <v>28</v>
      </c>
      <c r="C163" s="8" t="s">
        <v>16</v>
      </c>
      <c r="D163" s="11" t="s">
        <v>20</v>
      </c>
      <c r="E163" s="7" t="str">
        <f t="shared" si="13"/>
        <v>05080204</v>
      </c>
      <c r="F163" s="1" t="s">
        <v>1223</v>
      </c>
      <c r="G163" s="1" t="str">
        <f t="shared" si="16"/>
        <v>抽屉08螺纹铣刀</v>
      </c>
      <c r="H163" t="str">
        <f t="shared" si="14"/>
        <v>行号02</v>
      </c>
      <c r="I163" s="1" t="str">
        <f t="shared" si="15"/>
        <v>序号04</v>
      </c>
      <c r="J163" s="36" t="s">
        <v>1019</v>
      </c>
      <c r="K163" s="39">
        <v>0</v>
      </c>
      <c r="L163" s="39">
        <v>5</v>
      </c>
      <c r="M163" s="39"/>
      <c r="N163" s="39"/>
      <c r="O163" s="39" t="s">
        <v>1265</v>
      </c>
    </row>
    <row r="164" spans="1:15">
      <c r="A164" s="8" t="s">
        <v>22</v>
      </c>
      <c r="B164" s="8" t="s">
        <v>28</v>
      </c>
      <c r="C164" s="8" t="s">
        <v>16</v>
      </c>
      <c r="D164" s="11" t="s">
        <v>22</v>
      </c>
      <c r="E164" s="7" t="str">
        <f t="shared" si="13"/>
        <v>05080205</v>
      </c>
      <c r="F164" s="1" t="s">
        <v>1223</v>
      </c>
      <c r="G164" s="1" t="str">
        <f t="shared" si="16"/>
        <v>抽屉08螺纹铣刀</v>
      </c>
      <c r="H164" t="str">
        <f t="shared" si="14"/>
        <v>行号02</v>
      </c>
      <c r="I164" s="1" t="str">
        <f t="shared" si="15"/>
        <v>序号05</v>
      </c>
      <c r="J164" s="36" t="s">
        <v>1020</v>
      </c>
      <c r="K164" s="39">
        <v>0</v>
      </c>
      <c r="L164" s="39">
        <v>5</v>
      </c>
      <c r="M164" s="39"/>
      <c r="N164" s="39"/>
      <c r="O164" s="39" t="s">
        <v>1265</v>
      </c>
    </row>
    <row r="165" spans="1:15">
      <c r="A165" s="8" t="s">
        <v>22</v>
      </c>
      <c r="B165" s="8" t="s">
        <v>28</v>
      </c>
      <c r="C165" s="8" t="s">
        <v>16</v>
      </c>
      <c r="D165" s="11" t="s">
        <v>24</v>
      </c>
      <c r="E165" s="7" t="str">
        <f t="shared" si="13"/>
        <v>05080206</v>
      </c>
      <c r="F165" s="1" t="s">
        <v>1223</v>
      </c>
      <c r="G165" s="1" t="str">
        <f t="shared" si="16"/>
        <v>抽屉08螺纹铣刀</v>
      </c>
      <c r="H165" t="str">
        <f t="shared" si="14"/>
        <v>行号02</v>
      </c>
      <c r="I165" s="1" t="str">
        <f t="shared" si="15"/>
        <v>序号06</v>
      </c>
      <c r="J165" t="s">
        <v>1021</v>
      </c>
      <c r="K165" s="39">
        <v>0</v>
      </c>
      <c r="L165" s="39">
        <v>5</v>
      </c>
      <c r="M165" s="39"/>
      <c r="N165" s="39"/>
      <c r="O165" s="39" t="s">
        <v>1266</v>
      </c>
    </row>
    <row r="166" spans="1:15">
      <c r="A166" s="8" t="s">
        <v>22</v>
      </c>
      <c r="B166" s="8" t="s">
        <v>28</v>
      </c>
      <c r="C166" s="8" t="s">
        <v>16</v>
      </c>
      <c r="D166" s="11" t="s">
        <v>26</v>
      </c>
      <c r="E166" s="7" t="str">
        <f t="shared" si="13"/>
        <v>05080207</v>
      </c>
      <c r="F166" s="1" t="s">
        <v>1223</v>
      </c>
      <c r="G166" s="1" t="str">
        <f t="shared" si="16"/>
        <v>抽屉08螺纹铣刀</v>
      </c>
      <c r="H166" t="str">
        <f t="shared" si="14"/>
        <v>行号02</v>
      </c>
      <c r="I166" s="1" t="str">
        <f t="shared" si="15"/>
        <v>序号07</v>
      </c>
      <c r="J166" s="36" t="s">
        <v>1022</v>
      </c>
      <c r="K166" s="39">
        <v>0</v>
      </c>
      <c r="L166" s="39">
        <v>5</v>
      </c>
      <c r="M166" s="39"/>
      <c r="N166" s="39"/>
      <c r="O166" s="39" t="s">
        <v>1266</v>
      </c>
    </row>
    <row r="167" spans="1:15">
      <c r="A167" s="8" t="s">
        <v>22</v>
      </c>
      <c r="B167" s="8" t="s">
        <v>28</v>
      </c>
      <c r="C167" s="10" t="s">
        <v>18</v>
      </c>
      <c r="D167" s="8" t="s">
        <v>14</v>
      </c>
      <c r="E167" s="7" t="str">
        <f t="shared" si="13"/>
        <v>05080301</v>
      </c>
      <c r="F167" s="1" t="s">
        <v>1223</v>
      </c>
      <c r="G167" s="1" t="str">
        <f t="shared" si="16"/>
        <v>抽屉08螺纹铣刀</v>
      </c>
      <c r="H167" t="str">
        <f t="shared" si="14"/>
        <v>行号03</v>
      </c>
      <c r="I167" s="1" t="str">
        <f t="shared" si="15"/>
        <v>序号01</v>
      </c>
      <c r="J167" s="36" t="s">
        <v>1024</v>
      </c>
      <c r="K167" s="39">
        <v>0</v>
      </c>
      <c r="L167" s="39">
        <v>2</v>
      </c>
      <c r="M167" s="39"/>
      <c r="N167" s="39"/>
      <c r="O167" s="39" t="s">
        <v>1266</v>
      </c>
    </row>
    <row r="168" spans="1:15">
      <c r="A168" s="8" t="s">
        <v>22</v>
      </c>
      <c r="B168" s="8" t="s">
        <v>28</v>
      </c>
      <c r="C168" s="10" t="s">
        <v>18</v>
      </c>
      <c r="D168" s="8" t="s">
        <v>16</v>
      </c>
      <c r="E168" s="7" t="str">
        <f t="shared" si="13"/>
        <v>05080302</v>
      </c>
      <c r="F168" s="1" t="s">
        <v>1223</v>
      </c>
      <c r="G168" s="1" t="str">
        <f t="shared" si="16"/>
        <v>抽屉08螺纹铣刀</v>
      </c>
      <c r="H168" t="str">
        <f t="shared" si="14"/>
        <v>行号03</v>
      </c>
      <c r="I168" s="1" t="str">
        <f t="shared" si="15"/>
        <v>序号02</v>
      </c>
      <c r="J168" t="s">
        <v>1025</v>
      </c>
      <c r="K168" s="39">
        <v>0</v>
      </c>
      <c r="L168" s="39">
        <v>2</v>
      </c>
      <c r="M168" s="39"/>
      <c r="N168" s="39"/>
      <c r="O168" s="17" t="s">
        <v>1232</v>
      </c>
    </row>
    <row r="169" spans="1:15">
      <c r="A169" s="8" t="s">
        <v>22</v>
      </c>
      <c r="B169" s="8" t="s">
        <v>28</v>
      </c>
      <c r="C169" s="10" t="s">
        <v>18</v>
      </c>
      <c r="D169" s="8" t="s">
        <v>18</v>
      </c>
      <c r="E169" s="7" t="str">
        <f t="shared" si="13"/>
        <v>05080303</v>
      </c>
      <c r="F169" s="1" t="s">
        <v>1223</v>
      </c>
      <c r="G169" s="1" t="str">
        <f t="shared" si="16"/>
        <v>抽屉08螺纹铣刀</v>
      </c>
      <c r="H169" t="str">
        <f t="shared" si="14"/>
        <v>行号03</v>
      </c>
      <c r="I169" s="1" t="str">
        <f t="shared" si="15"/>
        <v>序号03</v>
      </c>
      <c r="J169" t="s">
        <v>1026</v>
      </c>
      <c r="K169" s="39">
        <v>0</v>
      </c>
      <c r="L169" s="39">
        <v>5</v>
      </c>
      <c r="M169" s="39"/>
      <c r="N169" s="39"/>
      <c r="O169" s="17" t="s">
        <v>1232</v>
      </c>
    </row>
    <row r="170" spans="1:15">
      <c r="A170" s="8" t="s">
        <v>22</v>
      </c>
      <c r="B170" s="8" t="s">
        <v>28</v>
      </c>
      <c r="C170" s="10" t="s">
        <v>18</v>
      </c>
      <c r="D170" s="8" t="s">
        <v>22</v>
      </c>
      <c r="E170" s="7" t="str">
        <f t="shared" si="13"/>
        <v>05080305</v>
      </c>
      <c r="F170" s="1" t="s">
        <v>1223</v>
      </c>
      <c r="G170" s="1" t="str">
        <f t="shared" si="16"/>
        <v>抽屉08螺纹铣刀</v>
      </c>
      <c r="H170" t="str">
        <f t="shared" si="14"/>
        <v>行号03</v>
      </c>
      <c r="I170" s="1" t="str">
        <f t="shared" si="15"/>
        <v>序号05</v>
      </c>
      <c r="J170" s="36" t="s">
        <v>1028</v>
      </c>
      <c r="K170" s="39">
        <v>0</v>
      </c>
      <c r="L170" s="39">
        <v>5</v>
      </c>
      <c r="M170" s="39"/>
      <c r="N170" s="39"/>
      <c r="O170" s="17" t="s">
        <v>1232</v>
      </c>
    </row>
    <row r="171" spans="1:15">
      <c r="A171" s="8" t="s">
        <v>22</v>
      </c>
      <c r="B171" s="8" t="s">
        <v>28</v>
      </c>
      <c r="C171" s="10" t="s">
        <v>18</v>
      </c>
      <c r="D171" s="8" t="s">
        <v>24</v>
      </c>
      <c r="E171" s="7" t="str">
        <f t="shared" si="13"/>
        <v>05080306</v>
      </c>
      <c r="F171" s="1" t="s">
        <v>1223</v>
      </c>
      <c r="G171" s="1" t="str">
        <f t="shared" si="16"/>
        <v>抽屉08螺纹铣刀</v>
      </c>
      <c r="H171" t="str">
        <f t="shared" si="14"/>
        <v>行号03</v>
      </c>
      <c r="I171" s="1" t="str">
        <f t="shared" si="15"/>
        <v>序号06</v>
      </c>
      <c r="J171" s="36" t="s">
        <v>1029</v>
      </c>
      <c r="K171" s="39">
        <v>0</v>
      </c>
      <c r="L171" s="39">
        <v>3</v>
      </c>
      <c r="M171" s="39"/>
      <c r="N171" s="39"/>
      <c r="O171" s="17" t="s">
        <v>1232</v>
      </c>
    </row>
    <row r="172" spans="1:15">
      <c r="A172" s="8" t="s">
        <v>22</v>
      </c>
      <c r="B172" s="8" t="s">
        <v>28</v>
      </c>
      <c r="C172" s="10" t="s">
        <v>18</v>
      </c>
      <c r="D172" s="8" t="s">
        <v>26</v>
      </c>
      <c r="E172" s="7" t="str">
        <f t="shared" si="13"/>
        <v>05080307</v>
      </c>
      <c r="F172" s="1" t="s">
        <v>1223</v>
      </c>
      <c r="G172" s="1" t="str">
        <f t="shared" si="16"/>
        <v>抽屉08螺纹铣刀</v>
      </c>
      <c r="H172" t="str">
        <f t="shared" si="14"/>
        <v>行号03</v>
      </c>
      <c r="I172" s="1" t="str">
        <f t="shared" si="15"/>
        <v>序号07</v>
      </c>
      <c r="J172" s="38"/>
      <c r="K172" s="41"/>
      <c r="L172" s="41"/>
      <c r="M172" s="41">
        <v>0</v>
      </c>
      <c r="N172" s="41">
        <v>0</v>
      </c>
    </row>
    <row r="173" spans="1:15">
      <c r="A173" s="8" t="s">
        <v>22</v>
      </c>
      <c r="B173" s="8" t="s">
        <v>28</v>
      </c>
      <c r="C173" s="10" t="s">
        <v>18</v>
      </c>
      <c r="D173" s="8" t="s">
        <v>28</v>
      </c>
      <c r="E173" s="7" t="str">
        <f t="shared" si="13"/>
        <v>05080308</v>
      </c>
      <c r="F173" s="1" t="s">
        <v>1223</v>
      </c>
      <c r="G173" s="1" t="str">
        <f t="shared" si="16"/>
        <v>抽屉08螺纹铣刀</v>
      </c>
      <c r="H173" t="str">
        <f t="shared" si="14"/>
        <v>行号03</v>
      </c>
      <c r="I173" s="1" t="str">
        <f t="shared" si="15"/>
        <v>序号08</v>
      </c>
      <c r="J173" s="38"/>
      <c r="K173" s="41"/>
      <c r="L173" s="41"/>
      <c r="M173" s="41">
        <v>0</v>
      </c>
      <c r="N173" s="41">
        <v>0</v>
      </c>
    </row>
    <row r="174" spans="1:15">
      <c r="A174" s="8" t="s">
        <v>22</v>
      </c>
      <c r="B174" s="8" t="s">
        <v>28</v>
      </c>
      <c r="C174" s="8" t="s">
        <v>20</v>
      </c>
      <c r="D174" s="11" t="s">
        <v>14</v>
      </c>
      <c r="E174" s="7" t="str">
        <f t="shared" si="13"/>
        <v>05080401</v>
      </c>
      <c r="F174" s="1" t="s">
        <v>1223</v>
      </c>
      <c r="G174" s="1" t="str">
        <f t="shared" si="16"/>
        <v>抽屉08螺纹铣刀</v>
      </c>
      <c r="H174" t="str">
        <f t="shared" si="14"/>
        <v>行号04</v>
      </c>
      <c r="I174" s="1" t="str">
        <f t="shared" si="15"/>
        <v>序号01</v>
      </c>
      <c r="J174" s="36" t="s">
        <v>1030</v>
      </c>
      <c r="K174" s="39">
        <v>0</v>
      </c>
      <c r="L174" s="39">
        <v>3</v>
      </c>
      <c r="M174" s="39"/>
      <c r="N174" s="39"/>
      <c r="O174" s="32" t="s">
        <v>1235</v>
      </c>
    </row>
    <row r="175" spans="1:15">
      <c r="A175" s="8" t="s">
        <v>22</v>
      </c>
      <c r="B175" s="8" t="s">
        <v>28</v>
      </c>
      <c r="C175" s="8" t="s">
        <v>20</v>
      </c>
      <c r="D175" s="11" t="s">
        <v>16</v>
      </c>
      <c r="E175" s="7" t="str">
        <f t="shared" si="13"/>
        <v>05080402</v>
      </c>
      <c r="F175" s="1" t="s">
        <v>1223</v>
      </c>
      <c r="G175" s="1" t="str">
        <f t="shared" si="16"/>
        <v>抽屉08螺纹铣刀</v>
      </c>
      <c r="H175" t="str">
        <f t="shared" si="14"/>
        <v>行号04</v>
      </c>
      <c r="I175" s="1" t="str">
        <f t="shared" si="15"/>
        <v>序号02</v>
      </c>
      <c r="J175" s="36" t="s">
        <v>1031</v>
      </c>
      <c r="K175" s="39">
        <v>2</v>
      </c>
      <c r="L175" s="39">
        <v>3</v>
      </c>
      <c r="M175" s="39"/>
      <c r="N175" s="39"/>
      <c r="O175" s="17" t="s">
        <v>1232</v>
      </c>
    </row>
    <row r="176" spans="1:15">
      <c r="A176" s="8" t="s">
        <v>22</v>
      </c>
      <c r="B176" s="8" t="s">
        <v>28</v>
      </c>
      <c r="C176" s="8" t="s">
        <v>20</v>
      </c>
      <c r="D176" s="11" t="s">
        <v>18</v>
      </c>
      <c r="E176" s="7" t="str">
        <f t="shared" si="13"/>
        <v>05080403</v>
      </c>
      <c r="F176" s="1" t="s">
        <v>1223</v>
      </c>
      <c r="G176" s="1" t="str">
        <f t="shared" si="16"/>
        <v>抽屉08螺纹铣刀</v>
      </c>
      <c r="H176" t="str">
        <f t="shared" si="14"/>
        <v>行号04</v>
      </c>
      <c r="I176" s="1" t="str">
        <f t="shared" si="15"/>
        <v>序号03</v>
      </c>
      <c r="J176" s="36" t="s">
        <v>1032</v>
      </c>
      <c r="K176" s="39">
        <v>0</v>
      </c>
      <c r="L176" s="39">
        <v>3</v>
      </c>
      <c r="M176" s="39"/>
      <c r="N176" s="39"/>
      <c r="O176" s="17" t="s">
        <v>1262</v>
      </c>
    </row>
    <row r="177" spans="1:15">
      <c r="A177" s="8" t="s">
        <v>22</v>
      </c>
      <c r="B177" s="8" t="s">
        <v>28</v>
      </c>
      <c r="C177" s="8" t="s">
        <v>20</v>
      </c>
      <c r="D177" s="11" t="s">
        <v>20</v>
      </c>
      <c r="E177" s="7" t="str">
        <f t="shared" si="13"/>
        <v>05080404</v>
      </c>
      <c r="F177" s="1" t="s">
        <v>1223</v>
      </c>
      <c r="G177" s="1" t="str">
        <f t="shared" si="16"/>
        <v>抽屉08螺纹铣刀</v>
      </c>
      <c r="H177" t="str">
        <f t="shared" si="14"/>
        <v>行号04</v>
      </c>
      <c r="I177" s="1" t="str">
        <f t="shared" si="15"/>
        <v>序号04</v>
      </c>
      <c r="J177" t="s">
        <v>1033</v>
      </c>
      <c r="K177" s="39">
        <v>0</v>
      </c>
      <c r="L177" s="39">
        <v>5</v>
      </c>
      <c r="M177" s="39"/>
      <c r="N177" s="39"/>
      <c r="O177" s="32" t="s">
        <v>1260</v>
      </c>
    </row>
    <row r="178" spans="1:15">
      <c r="A178" s="8" t="s">
        <v>22</v>
      </c>
      <c r="B178" s="8" t="s">
        <v>28</v>
      </c>
      <c r="C178" s="8" t="s">
        <v>20</v>
      </c>
      <c r="D178" s="11" t="s">
        <v>22</v>
      </c>
      <c r="E178" s="7" t="str">
        <f t="shared" si="13"/>
        <v>05080405</v>
      </c>
      <c r="F178" s="1" t="s">
        <v>1223</v>
      </c>
      <c r="G178" s="1" t="str">
        <f t="shared" si="16"/>
        <v>抽屉08螺纹铣刀</v>
      </c>
      <c r="H178" t="str">
        <f t="shared" si="14"/>
        <v>行号04</v>
      </c>
      <c r="I178" s="1" t="str">
        <f t="shared" si="15"/>
        <v>序号05</v>
      </c>
      <c r="J178" s="36" t="s">
        <v>1034</v>
      </c>
      <c r="K178" s="39">
        <v>0</v>
      </c>
      <c r="L178" s="39">
        <v>3</v>
      </c>
      <c r="M178" s="39"/>
      <c r="N178" s="39"/>
      <c r="O178" s="32" t="s">
        <v>1235</v>
      </c>
    </row>
    <row r="179" spans="1:15">
      <c r="A179" s="8" t="s">
        <v>22</v>
      </c>
      <c r="B179" s="8" t="s">
        <v>28</v>
      </c>
      <c r="C179" s="8" t="s">
        <v>20</v>
      </c>
      <c r="D179" s="11" t="s">
        <v>24</v>
      </c>
      <c r="E179" s="7" t="str">
        <f t="shared" si="13"/>
        <v>05080406</v>
      </c>
      <c r="F179" s="1" t="s">
        <v>1223</v>
      </c>
      <c r="G179" s="1" t="str">
        <f t="shared" si="16"/>
        <v>抽屉08螺纹铣刀</v>
      </c>
      <c r="H179" t="str">
        <f t="shared" si="14"/>
        <v>行号04</v>
      </c>
      <c r="I179" s="1" t="str">
        <f t="shared" si="15"/>
        <v>序号06</v>
      </c>
      <c r="J179" s="36" t="s">
        <v>1035</v>
      </c>
      <c r="K179" s="39">
        <v>0</v>
      </c>
      <c r="L179" s="39">
        <v>3</v>
      </c>
      <c r="M179" s="39"/>
      <c r="N179" s="39"/>
      <c r="O179" s="32" t="s">
        <v>1235</v>
      </c>
    </row>
    <row r="180" spans="1:15">
      <c r="A180" s="8" t="s">
        <v>22</v>
      </c>
      <c r="B180" s="8" t="s">
        <v>28</v>
      </c>
      <c r="C180" s="8" t="s">
        <v>20</v>
      </c>
      <c r="D180" s="11" t="s">
        <v>26</v>
      </c>
      <c r="E180" s="7" t="str">
        <f t="shared" si="13"/>
        <v>05080407</v>
      </c>
      <c r="F180" s="1" t="s">
        <v>1223</v>
      </c>
      <c r="G180" s="1" t="str">
        <f t="shared" si="16"/>
        <v>抽屉08螺纹铣刀</v>
      </c>
      <c r="H180" t="str">
        <f t="shared" si="14"/>
        <v>行号04</v>
      </c>
      <c r="I180" s="1" t="str">
        <f t="shared" si="15"/>
        <v>序号07</v>
      </c>
      <c r="J180" s="36" t="s">
        <v>1036</v>
      </c>
      <c r="K180" s="39">
        <v>0</v>
      </c>
      <c r="L180" s="39">
        <v>3</v>
      </c>
      <c r="M180" s="39"/>
      <c r="N180" s="39"/>
      <c r="O180" s="32" t="s">
        <v>1260</v>
      </c>
    </row>
    <row r="181" spans="1:15">
      <c r="A181" s="8" t="s">
        <v>22</v>
      </c>
      <c r="B181" s="8" t="s">
        <v>28</v>
      </c>
      <c r="C181" s="8" t="s">
        <v>20</v>
      </c>
      <c r="D181" s="11" t="s">
        <v>28</v>
      </c>
      <c r="E181" s="7" t="str">
        <f t="shared" si="13"/>
        <v>05080408</v>
      </c>
      <c r="F181" s="1" t="s">
        <v>1223</v>
      </c>
      <c r="G181" s="1" t="str">
        <f t="shared" si="16"/>
        <v>抽屉08螺纹铣刀</v>
      </c>
      <c r="H181" t="str">
        <f t="shared" si="14"/>
        <v>行号04</v>
      </c>
      <c r="I181" s="1" t="str">
        <f t="shared" si="15"/>
        <v>序号08</v>
      </c>
      <c r="J181" s="38"/>
      <c r="K181" s="41"/>
      <c r="L181" s="41"/>
      <c r="M181" s="41">
        <v>0</v>
      </c>
      <c r="N181" s="41">
        <v>0</v>
      </c>
    </row>
    <row r="182" spans="1:15">
      <c r="A182" s="8" t="s">
        <v>22</v>
      </c>
      <c r="B182" s="8" t="s">
        <v>333</v>
      </c>
      <c r="C182" s="10" t="s">
        <v>14</v>
      </c>
      <c r="D182" s="8" t="s">
        <v>16</v>
      </c>
      <c r="E182" s="7" t="str">
        <f t="shared" si="13"/>
        <v>05090102</v>
      </c>
      <c r="F182" s="1" t="s">
        <v>1223</v>
      </c>
      <c r="G182" s="1" t="str">
        <f>"抽屉"&amp;B182&amp;"特殊铣刀"</f>
        <v>抽屉09特殊铣刀</v>
      </c>
      <c r="H182" t="str">
        <f t="shared" si="14"/>
        <v>行号01</v>
      </c>
      <c r="I182" s="1" t="str">
        <f t="shared" si="15"/>
        <v>序号02</v>
      </c>
      <c r="J182" s="36" t="s">
        <v>1038</v>
      </c>
      <c r="K182" s="39">
        <v>0</v>
      </c>
      <c r="L182" s="39">
        <v>5</v>
      </c>
      <c r="M182" s="39"/>
      <c r="N182" s="39"/>
      <c r="O182" s="32" t="s">
        <v>1265</v>
      </c>
    </row>
    <row r="183" spans="1:15">
      <c r="A183" s="8" t="s">
        <v>22</v>
      </c>
      <c r="B183" s="8" t="s">
        <v>333</v>
      </c>
      <c r="C183" s="10" t="s">
        <v>14</v>
      </c>
      <c r="D183" s="8" t="s">
        <v>18</v>
      </c>
      <c r="E183" s="7" t="str">
        <f t="shared" si="13"/>
        <v>05090103</v>
      </c>
      <c r="F183" s="1" t="s">
        <v>1223</v>
      </c>
      <c r="G183" s="1" t="str">
        <f t="shared" ref="G183:G212" si="17">"抽屉"&amp;B183&amp;"特殊铣刀"</f>
        <v>抽屉09特殊铣刀</v>
      </c>
      <c r="H183" t="str">
        <f t="shared" si="14"/>
        <v>行号01</v>
      </c>
      <c r="I183" s="1" t="str">
        <f t="shared" si="15"/>
        <v>序号03</v>
      </c>
      <c r="J183" s="38"/>
      <c r="K183" s="41"/>
      <c r="L183" s="41"/>
      <c r="M183" s="41">
        <v>0</v>
      </c>
      <c r="N183" s="41">
        <v>0</v>
      </c>
    </row>
    <row r="184" spans="1:15">
      <c r="A184" s="8" t="s">
        <v>22</v>
      </c>
      <c r="B184" s="8" t="s">
        <v>333</v>
      </c>
      <c r="C184" s="10" t="s">
        <v>14</v>
      </c>
      <c r="D184" s="8" t="s">
        <v>20</v>
      </c>
      <c r="E184" s="7" t="str">
        <f t="shared" si="13"/>
        <v>05090104</v>
      </c>
      <c r="F184" s="1" t="s">
        <v>1223</v>
      </c>
      <c r="G184" s="1" t="str">
        <f t="shared" si="17"/>
        <v>抽屉09特殊铣刀</v>
      </c>
      <c r="H184" t="str">
        <f t="shared" si="14"/>
        <v>行号01</v>
      </c>
      <c r="I184" s="1" t="str">
        <f t="shared" si="15"/>
        <v>序号04</v>
      </c>
      <c r="J184" s="38"/>
      <c r="K184" s="41"/>
      <c r="L184" s="41"/>
      <c r="M184" s="41">
        <v>0</v>
      </c>
      <c r="N184" s="41">
        <v>0</v>
      </c>
    </row>
    <row r="185" spans="1:15">
      <c r="A185" s="8" t="s">
        <v>22</v>
      </c>
      <c r="B185" s="8" t="s">
        <v>333</v>
      </c>
      <c r="C185" s="10" t="s">
        <v>14</v>
      </c>
      <c r="D185" s="8" t="s">
        <v>22</v>
      </c>
      <c r="E185" s="7" t="str">
        <f t="shared" si="13"/>
        <v>05090105</v>
      </c>
      <c r="F185" s="1" t="s">
        <v>1223</v>
      </c>
      <c r="G185" s="1" t="str">
        <f t="shared" si="17"/>
        <v>抽屉09特殊铣刀</v>
      </c>
      <c r="H185" t="str">
        <f t="shared" si="14"/>
        <v>行号01</v>
      </c>
      <c r="I185" s="1" t="str">
        <f t="shared" si="15"/>
        <v>序号05</v>
      </c>
      <c r="J185" s="38"/>
      <c r="K185" s="41"/>
      <c r="L185" s="41"/>
      <c r="M185" s="41">
        <v>0</v>
      </c>
      <c r="N185" s="41">
        <v>0</v>
      </c>
    </row>
    <row r="186" spans="1:15">
      <c r="A186" s="8" t="s">
        <v>22</v>
      </c>
      <c r="B186" s="8" t="s">
        <v>333</v>
      </c>
      <c r="C186" s="10" t="s">
        <v>14</v>
      </c>
      <c r="D186" s="8" t="s">
        <v>24</v>
      </c>
      <c r="E186" s="7" t="str">
        <f t="shared" si="13"/>
        <v>05090106</v>
      </c>
      <c r="F186" s="1" t="s">
        <v>1223</v>
      </c>
      <c r="G186" s="1" t="str">
        <f t="shared" si="17"/>
        <v>抽屉09特殊铣刀</v>
      </c>
      <c r="H186" t="str">
        <f t="shared" si="14"/>
        <v>行号01</v>
      </c>
      <c r="I186" s="1" t="str">
        <f t="shared" si="15"/>
        <v>序号06</v>
      </c>
      <c r="J186" s="56"/>
      <c r="K186" s="41"/>
      <c r="L186" s="41"/>
      <c r="M186" s="41">
        <v>0</v>
      </c>
      <c r="N186" s="41">
        <v>0</v>
      </c>
    </row>
    <row r="187" spans="1:15">
      <c r="A187" s="8" t="s">
        <v>22</v>
      </c>
      <c r="B187" s="8" t="s">
        <v>333</v>
      </c>
      <c r="C187" s="10" t="s">
        <v>14</v>
      </c>
      <c r="D187" s="8" t="s">
        <v>26</v>
      </c>
      <c r="E187" s="7" t="str">
        <f t="shared" si="13"/>
        <v>05090107</v>
      </c>
      <c r="F187" s="1" t="s">
        <v>1223</v>
      </c>
      <c r="G187" s="1" t="str">
        <f t="shared" si="17"/>
        <v>抽屉09特殊铣刀</v>
      </c>
      <c r="H187" t="str">
        <f t="shared" si="14"/>
        <v>行号01</v>
      </c>
      <c r="I187" s="1" t="str">
        <f t="shared" si="15"/>
        <v>序号07</v>
      </c>
      <c r="J187" s="24"/>
      <c r="K187" s="41"/>
      <c r="L187" s="41"/>
      <c r="M187" s="41">
        <v>0</v>
      </c>
      <c r="N187" s="41">
        <v>0</v>
      </c>
    </row>
    <row r="188" spans="1:15">
      <c r="A188" s="8" t="s">
        <v>22</v>
      </c>
      <c r="B188" s="8" t="s">
        <v>333</v>
      </c>
      <c r="C188" s="10" t="s">
        <v>14</v>
      </c>
      <c r="D188" s="8" t="s">
        <v>28</v>
      </c>
      <c r="E188" s="7" t="str">
        <f t="shared" si="13"/>
        <v>05090108</v>
      </c>
      <c r="F188" s="1" t="s">
        <v>1223</v>
      </c>
      <c r="G188" s="1" t="str">
        <f t="shared" si="17"/>
        <v>抽屉09特殊铣刀</v>
      </c>
      <c r="H188" t="str">
        <f t="shared" si="14"/>
        <v>行号01</v>
      </c>
      <c r="I188" s="1" t="str">
        <f t="shared" si="15"/>
        <v>序号08</v>
      </c>
      <c r="J188" s="24"/>
      <c r="K188" s="41"/>
      <c r="L188" s="41"/>
      <c r="M188" s="41">
        <v>0</v>
      </c>
      <c r="N188" s="41">
        <v>0</v>
      </c>
    </row>
    <row r="189" spans="1:15">
      <c r="A189" s="8" t="s">
        <v>22</v>
      </c>
      <c r="B189" s="8" t="s">
        <v>333</v>
      </c>
      <c r="C189" s="8" t="s">
        <v>16</v>
      </c>
      <c r="D189" s="11" t="s">
        <v>14</v>
      </c>
      <c r="E189" s="7" t="str">
        <f t="shared" si="13"/>
        <v>05090201</v>
      </c>
      <c r="F189" s="1" t="s">
        <v>1223</v>
      </c>
      <c r="G189" s="1" t="str">
        <f t="shared" si="17"/>
        <v>抽屉09特殊铣刀</v>
      </c>
      <c r="H189" t="str">
        <f t="shared" si="14"/>
        <v>行号02</v>
      </c>
      <c r="I189" s="1" t="str">
        <f t="shared" si="15"/>
        <v>序号01</v>
      </c>
      <c r="J189" t="s">
        <v>1039</v>
      </c>
      <c r="K189" s="39">
        <v>0</v>
      </c>
      <c r="L189" s="39">
        <v>3</v>
      </c>
      <c r="M189" s="39"/>
      <c r="N189" s="39"/>
      <c r="O189" s="32" t="s">
        <v>1265</v>
      </c>
    </row>
    <row r="190" spans="1:15">
      <c r="A190" s="8" t="s">
        <v>22</v>
      </c>
      <c r="B190" s="8" t="s">
        <v>333</v>
      </c>
      <c r="C190" s="8" t="s">
        <v>16</v>
      </c>
      <c r="D190" s="11" t="s">
        <v>16</v>
      </c>
      <c r="E190" s="7" t="str">
        <f t="shared" si="13"/>
        <v>05090202</v>
      </c>
      <c r="F190" s="1" t="s">
        <v>1223</v>
      </c>
      <c r="G190" s="1" t="str">
        <f t="shared" si="17"/>
        <v>抽屉09特殊铣刀</v>
      </c>
      <c r="H190" t="str">
        <f t="shared" si="14"/>
        <v>行号02</v>
      </c>
      <c r="I190" s="1" t="str">
        <f t="shared" si="15"/>
        <v>序号02</v>
      </c>
      <c r="J190" t="s">
        <v>1040</v>
      </c>
      <c r="K190" s="39">
        <v>0</v>
      </c>
      <c r="L190" s="39">
        <v>3</v>
      </c>
      <c r="M190" s="39"/>
      <c r="N190" s="39"/>
      <c r="O190" s="32" t="s">
        <v>1265</v>
      </c>
    </row>
    <row r="191" spans="1:15">
      <c r="A191" s="8" t="s">
        <v>22</v>
      </c>
      <c r="B191" s="8" t="s">
        <v>333</v>
      </c>
      <c r="C191" s="8" t="s">
        <v>16</v>
      </c>
      <c r="D191" s="11" t="s">
        <v>18</v>
      </c>
      <c r="E191" s="7" t="str">
        <f t="shared" si="13"/>
        <v>05090203</v>
      </c>
      <c r="F191" s="1" t="s">
        <v>1223</v>
      </c>
      <c r="G191" s="1" t="str">
        <f t="shared" si="17"/>
        <v>抽屉09特殊铣刀</v>
      </c>
      <c r="H191" t="str">
        <f t="shared" si="14"/>
        <v>行号02</v>
      </c>
      <c r="I191" s="1" t="str">
        <f t="shared" si="15"/>
        <v>序号03</v>
      </c>
      <c r="J191" t="s">
        <v>1041</v>
      </c>
      <c r="K191" s="39">
        <v>0</v>
      </c>
      <c r="L191" s="39">
        <v>3</v>
      </c>
      <c r="M191" s="39"/>
      <c r="N191" s="39"/>
      <c r="O191" s="32" t="s">
        <v>1265</v>
      </c>
    </row>
    <row r="192" spans="1:15">
      <c r="A192" s="8" t="s">
        <v>22</v>
      </c>
      <c r="B192" s="8" t="s">
        <v>333</v>
      </c>
      <c r="C192" s="8" t="s">
        <v>16</v>
      </c>
      <c r="D192" s="11" t="s">
        <v>20</v>
      </c>
      <c r="E192" s="7" t="str">
        <f t="shared" si="13"/>
        <v>05090204</v>
      </c>
      <c r="F192" s="1" t="s">
        <v>1223</v>
      </c>
      <c r="G192" s="1" t="str">
        <f t="shared" si="17"/>
        <v>抽屉09特殊铣刀</v>
      </c>
      <c r="H192" t="str">
        <f t="shared" si="14"/>
        <v>行号02</v>
      </c>
      <c r="I192" s="1" t="str">
        <f t="shared" si="15"/>
        <v>序号04</v>
      </c>
      <c r="J192" s="24"/>
      <c r="K192" s="41"/>
      <c r="L192" s="41"/>
      <c r="M192" s="41">
        <v>0</v>
      </c>
      <c r="N192" s="41">
        <v>0</v>
      </c>
    </row>
    <row r="193" spans="1:14">
      <c r="A193" s="8" t="s">
        <v>22</v>
      </c>
      <c r="B193" s="8" t="s">
        <v>333</v>
      </c>
      <c r="C193" s="8" t="s">
        <v>16</v>
      </c>
      <c r="D193" s="11" t="s">
        <v>22</v>
      </c>
      <c r="E193" s="7" t="str">
        <f t="shared" si="13"/>
        <v>05090205</v>
      </c>
      <c r="F193" s="1" t="s">
        <v>1223</v>
      </c>
      <c r="G193" s="1" t="str">
        <f t="shared" si="17"/>
        <v>抽屉09特殊铣刀</v>
      </c>
      <c r="H193" t="str">
        <f t="shared" si="14"/>
        <v>行号02</v>
      </c>
      <c r="I193" s="1" t="str">
        <f t="shared" si="15"/>
        <v>序号05</v>
      </c>
      <c r="J193" s="24"/>
      <c r="K193" s="41"/>
      <c r="L193" s="41"/>
      <c r="M193" s="41">
        <v>0</v>
      </c>
      <c r="N193" s="41">
        <v>0</v>
      </c>
    </row>
    <row r="194" spans="1:14">
      <c r="A194" s="8" t="s">
        <v>22</v>
      </c>
      <c r="B194" s="8" t="s">
        <v>333</v>
      </c>
      <c r="C194" s="8" t="s">
        <v>16</v>
      </c>
      <c r="D194" s="11" t="s">
        <v>24</v>
      </c>
      <c r="E194" s="7" t="str">
        <f t="shared" ref="E194:E257" si="18">A194&amp;B194&amp;C194&amp;D194</f>
        <v>05090206</v>
      </c>
      <c r="F194" s="1" t="s">
        <v>1223</v>
      </c>
      <c r="G194" s="1" t="str">
        <f t="shared" si="17"/>
        <v>抽屉09特殊铣刀</v>
      </c>
      <c r="H194" t="str">
        <f t="shared" ref="H194:H257" si="19">"行号"&amp;C194</f>
        <v>行号02</v>
      </c>
      <c r="I194" s="1" t="str">
        <f t="shared" ref="I194:I257" si="20">"序号"&amp;D194</f>
        <v>序号06</v>
      </c>
      <c r="J194" s="38"/>
      <c r="K194" s="41"/>
      <c r="L194" s="41"/>
      <c r="M194" s="41">
        <v>0</v>
      </c>
      <c r="N194" s="41">
        <v>0</v>
      </c>
    </row>
    <row r="195" spans="1:14">
      <c r="A195" s="8" t="s">
        <v>22</v>
      </c>
      <c r="B195" s="8" t="s">
        <v>333</v>
      </c>
      <c r="C195" s="8" t="s">
        <v>16</v>
      </c>
      <c r="D195" s="11" t="s">
        <v>26</v>
      </c>
      <c r="E195" s="7" t="str">
        <f t="shared" si="18"/>
        <v>05090207</v>
      </c>
      <c r="F195" s="1" t="s">
        <v>1223</v>
      </c>
      <c r="G195" s="1" t="str">
        <f t="shared" si="17"/>
        <v>抽屉09特殊铣刀</v>
      </c>
      <c r="H195" t="str">
        <f t="shared" si="19"/>
        <v>行号02</v>
      </c>
      <c r="I195" s="1" t="str">
        <f t="shared" si="20"/>
        <v>序号07</v>
      </c>
      <c r="J195" s="38"/>
      <c r="K195" s="41"/>
      <c r="L195" s="41"/>
      <c r="M195" s="41">
        <v>0</v>
      </c>
      <c r="N195" s="41">
        <v>0</v>
      </c>
    </row>
    <row r="196" spans="1:14">
      <c r="A196" s="8" t="s">
        <v>22</v>
      </c>
      <c r="B196" s="8" t="s">
        <v>333</v>
      </c>
      <c r="C196" s="8" t="s">
        <v>16</v>
      </c>
      <c r="D196" s="11" t="s">
        <v>28</v>
      </c>
      <c r="E196" s="7" t="str">
        <f t="shared" si="18"/>
        <v>05090208</v>
      </c>
      <c r="F196" s="1" t="s">
        <v>1223</v>
      </c>
      <c r="G196" s="1" t="str">
        <f t="shared" si="17"/>
        <v>抽屉09特殊铣刀</v>
      </c>
      <c r="H196" t="str">
        <f t="shared" si="19"/>
        <v>行号02</v>
      </c>
      <c r="I196" s="1" t="str">
        <f t="shared" si="20"/>
        <v>序号08</v>
      </c>
      <c r="J196" s="38"/>
      <c r="K196" s="41"/>
      <c r="L196" s="41"/>
      <c r="M196" s="41">
        <v>0</v>
      </c>
      <c r="N196" s="41">
        <v>0</v>
      </c>
    </row>
    <row r="197" spans="1:14">
      <c r="A197" s="8" t="s">
        <v>22</v>
      </c>
      <c r="B197" s="8" t="s">
        <v>333</v>
      </c>
      <c r="C197" s="10" t="s">
        <v>18</v>
      </c>
      <c r="D197" s="8" t="s">
        <v>14</v>
      </c>
      <c r="E197" s="7" t="str">
        <f t="shared" si="18"/>
        <v>05090301</v>
      </c>
      <c r="F197" s="1" t="s">
        <v>1223</v>
      </c>
      <c r="G197" s="1" t="str">
        <f t="shared" si="17"/>
        <v>抽屉09特殊铣刀</v>
      </c>
      <c r="H197" t="str">
        <f t="shared" si="19"/>
        <v>行号03</v>
      </c>
      <c r="I197" s="1" t="str">
        <f t="shared" si="20"/>
        <v>序号01</v>
      </c>
      <c r="J197" s="38"/>
      <c r="K197" s="41"/>
      <c r="L197" s="41"/>
      <c r="M197" s="41">
        <v>0</v>
      </c>
      <c r="N197" s="41">
        <v>0</v>
      </c>
    </row>
    <row r="198" spans="1:14">
      <c r="A198" s="8" t="s">
        <v>22</v>
      </c>
      <c r="B198" s="8" t="s">
        <v>333</v>
      </c>
      <c r="C198" s="10" t="s">
        <v>18</v>
      </c>
      <c r="D198" s="8" t="s">
        <v>16</v>
      </c>
      <c r="E198" s="7" t="str">
        <f t="shared" si="18"/>
        <v>05090302</v>
      </c>
      <c r="F198" s="1" t="s">
        <v>1223</v>
      </c>
      <c r="G198" s="1" t="str">
        <f t="shared" si="17"/>
        <v>抽屉09特殊铣刀</v>
      </c>
      <c r="H198" t="str">
        <f t="shared" si="19"/>
        <v>行号03</v>
      </c>
      <c r="I198" s="1" t="str">
        <f t="shared" si="20"/>
        <v>序号02</v>
      </c>
      <c r="J198" s="38"/>
      <c r="K198" s="41"/>
      <c r="L198" s="41"/>
      <c r="M198" s="41">
        <v>0</v>
      </c>
      <c r="N198" s="41">
        <v>0</v>
      </c>
    </row>
    <row r="199" spans="1:14">
      <c r="A199" s="8" t="s">
        <v>22</v>
      </c>
      <c r="B199" s="8" t="s">
        <v>333</v>
      </c>
      <c r="C199" s="10" t="s">
        <v>18</v>
      </c>
      <c r="D199" s="8" t="s">
        <v>18</v>
      </c>
      <c r="E199" s="7" t="str">
        <f t="shared" si="18"/>
        <v>05090303</v>
      </c>
      <c r="F199" s="1" t="s">
        <v>1223</v>
      </c>
      <c r="G199" s="1" t="str">
        <f t="shared" si="17"/>
        <v>抽屉09特殊铣刀</v>
      </c>
      <c r="H199" t="str">
        <f t="shared" si="19"/>
        <v>行号03</v>
      </c>
      <c r="I199" s="1" t="str">
        <f t="shared" si="20"/>
        <v>序号03</v>
      </c>
      <c r="J199" s="24"/>
      <c r="K199" s="41"/>
      <c r="L199" s="41"/>
      <c r="M199" s="41">
        <v>0</v>
      </c>
      <c r="N199" s="41">
        <v>0</v>
      </c>
    </row>
    <row r="200" spans="1:14">
      <c r="A200" s="8" t="s">
        <v>22</v>
      </c>
      <c r="B200" s="8" t="s">
        <v>333</v>
      </c>
      <c r="C200" s="10" t="s">
        <v>18</v>
      </c>
      <c r="D200" s="8" t="s">
        <v>20</v>
      </c>
      <c r="E200" s="7" t="str">
        <f t="shared" si="18"/>
        <v>05090304</v>
      </c>
      <c r="F200" s="1" t="s">
        <v>1223</v>
      </c>
      <c r="G200" s="1" t="str">
        <f t="shared" si="17"/>
        <v>抽屉09特殊铣刀</v>
      </c>
      <c r="H200" t="str">
        <f t="shared" si="19"/>
        <v>行号03</v>
      </c>
      <c r="I200" s="1" t="str">
        <f t="shared" si="20"/>
        <v>序号04</v>
      </c>
      <c r="J200" s="24"/>
      <c r="K200" s="41"/>
      <c r="L200" s="41"/>
      <c r="M200" s="41">
        <v>0</v>
      </c>
      <c r="N200" s="41">
        <v>0</v>
      </c>
    </row>
    <row r="201" spans="1:14">
      <c r="A201" s="8" t="s">
        <v>22</v>
      </c>
      <c r="B201" s="8" t="s">
        <v>333</v>
      </c>
      <c r="C201" s="10" t="s">
        <v>18</v>
      </c>
      <c r="D201" s="8" t="s">
        <v>22</v>
      </c>
      <c r="E201" s="7" t="str">
        <f t="shared" si="18"/>
        <v>05090305</v>
      </c>
      <c r="F201" s="1" t="s">
        <v>1223</v>
      </c>
      <c r="G201" s="1" t="str">
        <f t="shared" si="17"/>
        <v>抽屉09特殊铣刀</v>
      </c>
      <c r="H201" t="str">
        <f t="shared" si="19"/>
        <v>行号03</v>
      </c>
      <c r="I201" s="1" t="str">
        <f t="shared" si="20"/>
        <v>序号05</v>
      </c>
      <c r="J201" s="24"/>
      <c r="K201" s="41"/>
      <c r="L201" s="41"/>
      <c r="M201" s="41">
        <v>0</v>
      </c>
      <c r="N201" s="41">
        <v>0</v>
      </c>
    </row>
    <row r="202" spans="1:14">
      <c r="A202" s="8" t="s">
        <v>22</v>
      </c>
      <c r="B202" s="8" t="s">
        <v>333</v>
      </c>
      <c r="C202" s="10" t="s">
        <v>18</v>
      </c>
      <c r="D202" s="8" t="s">
        <v>24</v>
      </c>
      <c r="E202" s="7" t="str">
        <f t="shared" si="18"/>
        <v>05090306</v>
      </c>
      <c r="F202" s="1" t="s">
        <v>1223</v>
      </c>
      <c r="G202" s="1" t="str">
        <f t="shared" si="17"/>
        <v>抽屉09特殊铣刀</v>
      </c>
      <c r="H202" t="str">
        <f t="shared" si="19"/>
        <v>行号03</v>
      </c>
      <c r="I202" s="1" t="str">
        <f t="shared" si="20"/>
        <v>序号06</v>
      </c>
      <c r="J202" s="38"/>
      <c r="K202" s="41"/>
      <c r="L202" s="41"/>
      <c r="M202" s="41">
        <v>0</v>
      </c>
      <c r="N202" s="41">
        <v>0</v>
      </c>
    </row>
    <row r="203" spans="1:14">
      <c r="A203" s="8" t="s">
        <v>22</v>
      </c>
      <c r="B203" s="8" t="s">
        <v>333</v>
      </c>
      <c r="C203" s="10" t="s">
        <v>18</v>
      </c>
      <c r="D203" s="8" t="s">
        <v>26</v>
      </c>
      <c r="E203" s="7" t="str">
        <f t="shared" si="18"/>
        <v>05090307</v>
      </c>
      <c r="F203" s="1" t="s">
        <v>1223</v>
      </c>
      <c r="G203" s="1" t="str">
        <f t="shared" si="17"/>
        <v>抽屉09特殊铣刀</v>
      </c>
      <c r="H203" t="str">
        <f t="shared" si="19"/>
        <v>行号03</v>
      </c>
      <c r="I203" s="1" t="str">
        <f t="shared" si="20"/>
        <v>序号07</v>
      </c>
      <c r="J203" s="38"/>
      <c r="K203" s="41"/>
      <c r="L203" s="41"/>
      <c r="M203" s="41">
        <v>0</v>
      </c>
      <c r="N203" s="41">
        <v>0</v>
      </c>
    </row>
    <row r="204" spans="1:14">
      <c r="A204" s="8" t="s">
        <v>22</v>
      </c>
      <c r="B204" s="8" t="s">
        <v>333</v>
      </c>
      <c r="C204" s="10" t="s">
        <v>18</v>
      </c>
      <c r="D204" s="8" t="s">
        <v>28</v>
      </c>
      <c r="E204" s="7" t="str">
        <f t="shared" si="18"/>
        <v>05090308</v>
      </c>
      <c r="F204" s="1" t="s">
        <v>1223</v>
      </c>
      <c r="G204" s="1" t="str">
        <f t="shared" si="17"/>
        <v>抽屉09特殊铣刀</v>
      </c>
      <c r="H204" t="str">
        <f t="shared" si="19"/>
        <v>行号03</v>
      </c>
      <c r="I204" s="1" t="str">
        <f t="shared" si="20"/>
        <v>序号08</v>
      </c>
      <c r="J204" s="38"/>
      <c r="K204" s="41"/>
      <c r="L204" s="41"/>
      <c r="M204" s="41">
        <v>0</v>
      </c>
      <c r="N204" s="41">
        <v>0</v>
      </c>
    </row>
    <row r="205" spans="1:14">
      <c r="A205" s="8" t="s">
        <v>22</v>
      </c>
      <c r="B205" s="8" t="s">
        <v>333</v>
      </c>
      <c r="C205" s="8" t="s">
        <v>20</v>
      </c>
      <c r="D205" s="11" t="s">
        <v>14</v>
      </c>
      <c r="E205" s="7" t="str">
        <f t="shared" si="18"/>
        <v>05090401</v>
      </c>
      <c r="F205" s="1" t="s">
        <v>1223</v>
      </c>
      <c r="G205" s="1" t="str">
        <f t="shared" si="17"/>
        <v>抽屉09特殊铣刀</v>
      </c>
      <c r="H205" t="str">
        <f t="shared" si="19"/>
        <v>行号04</v>
      </c>
      <c r="I205" s="1" t="str">
        <f t="shared" si="20"/>
        <v>序号01</v>
      </c>
      <c r="J205" s="24"/>
      <c r="K205" s="41"/>
      <c r="L205" s="41"/>
      <c r="M205" s="41">
        <v>0</v>
      </c>
      <c r="N205" s="41">
        <v>0</v>
      </c>
    </row>
    <row r="206" spans="1:14">
      <c r="A206" s="8" t="s">
        <v>22</v>
      </c>
      <c r="B206" s="8" t="s">
        <v>333</v>
      </c>
      <c r="C206" s="8" t="s">
        <v>20</v>
      </c>
      <c r="D206" s="11" t="s">
        <v>16</v>
      </c>
      <c r="E206" s="7" t="str">
        <f t="shared" si="18"/>
        <v>05090402</v>
      </c>
      <c r="F206" s="1" t="s">
        <v>1223</v>
      </c>
      <c r="G206" s="1" t="str">
        <f t="shared" si="17"/>
        <v>抽屉09特殊铣刀</v>
      </c>
      <c r="H206" t="str">
        <f t="shared" si="19"/>
        <v>行号04</v>
      </c>
      <c r="I206" s="1" t="str">
        <f t="shared" si="20"/>
        <v>序号02</v>
      </c>
      <c r="J206" s="24"/>
      <c r="K206" s="41"/>
      <c r="L206" s="41"/>
      <c r="M206" s="41">
        <v>0</v>
      </c>
      <c r="N206" s="41">
        <v>0</v>
      </c>
    </row>
    <row r="207" spans="1:14">
      <c r="A207" s="8" t="s">
        <v>22</v>
      </c>
      <c r="B207" s="8" t="s">
        <v>333</v>
      </c>
      <c r="C207" s="8" t="s">
        <v>20</v>
      </c>
      <c r="D207" s="11" t="s">
        <v>18</v>
      </c>
      <c r="E207" s="7" t="str">
        <f t="shared" si="18"/>
        <v>05090403</v>
      </c>
      <c r="F207" s="1" t="s">
        <v>1223</v>
      </c>
      <c r="G207" s="1" t="str">
        <f t="shared" si="17"/>
        <v>抽屉09特殊铣刀</v>
      </c>
      <c r="H207" t="str">
        <f t="shared" si="19"/>
        <v>行号04</v>
      </c>
      <c r="I207" s="1" t="str">
        <f t="shared" si="20"/>
        <v>序号03</v>
      </c>
      <c r="J207" s="24"/>
      <c r="K207" s="41"/>
      <c r="L207" s="41"/>
      <c r="M207" s="41">
        <v>0</v>
      </c>
      <c r="N207" s="41">
        <v>0</v>
      </c>
    </row>
    <row r="208" spans="1:14">
      <c r="A208" s="8" t="s">
        <v>22</v>
      </c>
      <c r="B208" s="8" t="s">
        <v>333</v>
      </c>
      <c r="C208" s="8" t="s">
        <v>20</v>
      </c>
      <c r="D208" s="11" t="s">
        <v>20</v>
      </c>
      <c r="E208" s="7" t="str">
        <f t="shared" si="18"/>
        <v>05090404</v>
      </c>
      <c r="F208" s="1" t="s">
        <v>1223</v>
      </c>
      <c r="G208" s="1" t="str">
        <f t="shared" si="17"/>
        <v>抽屉09特殊铣刀</v>
      </c>
      <c r="H208" t="str">
        <f t="shared" si="19"/>
        <v>行号04</v>
      </c>
      <c r="I208" s="1" t="str">
        <f t="shared" si="20"/>
        <v>序号04</v>
      </c>
      <c r="J208" s="24"/>
      <c r="K208" s="41"/>
      <c r="L208" s="41"/>
      <c r="M208" s="41">
        <v>0</v>
      </c>
      <c r="N208" s="41">
        <v>0</v>
      </c>
    </row>
    <row r="209" spans="1:15">
      <c r="A209" s="8" t="s">
        <v>22</v>
      </c>
      <c r="B209" s="8" t="s">
        <v>333</v>
      </c>
      <c r="C209" s="8" t="s">
        <v>20</v>
      </c>
      <c r="D209" s="11" t="s">
        <v>22</v>
      </c>
      <c r="E209" s="7" t="str">
        <f t="shared" si="18"/>
        <v>05090405</v>
      </c>
      <c r="F209" s="1" t="s">
        <v>1223</v>
      </c>
      <c r="G209" s="1" t="str">
        <f t="shared" si="17"/>
        <v>抽屉09特殊铣刀</v>
      </c>
      <c r="H209" t="str">
        <f t="shared" si="19"/>
        <v>行号04</v>
      </c>
      <c r="I209" s="1" t="str">
        <f t="shared" si="20"/>
        <v>序号05</v>
      </c>
      <c r="J209" s="24"/>
      <c r="K209" s="41"/>
      <c r="L209" s="41"/>
      <c r="M209" s="41">
        <v>0</v>
      </c>
      <c r="N209" s="41">
        <v>0</v>
      </c>
    </row>
    <row r="210" spans="1:15">
      <c r="A210" s="8" t="s">
        <v>22</v>
      </c>
      <c r="B210" s="8" t="s">
        <v>333</v>
      </c>
      <c r="C210" s="8" t="s">
        <v>20</v>
      </c>
      <c r="D210" s="11" t="s">
        <v>24</v>
      </c>
      <c r="E210" s="7" t="str">
        <f t="shared" si="18"/>
        <v>05090406</v>
      </c>
      <c r="F210" s="1" t="s">
        <v>1223</v>
      </c>
      <c r="G210" s="1" t="str">
        <f t="shared" si="17"/>
        <v>抽屉09特殊铣刀</v>
      </c>
      <c r="H210" t="str">
        <f t="shared" si="19"/>
        <v>行号04</v>
      </c>
      <c r="I210" s="1" t="str">
        <f t="shared" si="20"/>
        <v>序号06</v>
      </c>
      <c r="J210" s="24"/>
      <c r="K210" s="41"/>
      <c r="L210" s="41"/>
      <c r="M210" s="41">
        <v>0</v>
      </c>
      <c r="N210" s="41">
        <v>0</v>
      </c>
    </row>
    <row r="211" spans="1:15">
      <c r="A211" s="8" t="s">
        <v>22</v>
      </c>
      <c r="B211" s="8" t="s">
        <v>333</v>
      </c>
      <c r="C211" s="8" t="s">
        <v>20</v>
      </c>
      <c r="D211" s="11" t="s">
        <v>26</v>
      </c>
      <c r="E211" s="7" t="str">
        <f t="shared" si="18"/>
        <v>05090407</v>
      </c>
      <c r="F211" s="1" t="s">
        <v>1223</v>
      </c>
      <c r="G211" s="1" t="str">
        <f t="shared" si="17"/>
        <v>抽屉09特殊铣刀</v>
      </c>
      <c r="H211" t="str">
        <f t="shared" si="19"/>
        <v>行号04</v>
      </c>
      <c r="I211" s="1" t="str">
        <f t="shared" si="20"/>
        <v>序号07</v>
      </c>
      <c r="J211" s="24"/>
      <c r="K211" s="41"/>
      <c r="L211" s="41"/>
      <c r="M211" s="41">
        <v>0</v>
      </c>
      <c r="N211" s="41">
        <v>0</v>
      </c>
    </row>
    <row r="212" spans="1:15">
      <c r="A212" s="8" t="s">
        <v>22</v>
      </c>
      <c r="B212" s="8" t="s">
        <v>333</v>
      </c>
      <c r="C212" s="8" t="s">
        <v>20</v>
      </c>
      <c r="D212" s="11" t="s">
        <v>28</v>
      </c>
      <c r="E212" s="7" t="str">
        <f t="shared" si="18"/>
        <v>05090408</v>
      </c>
      <c r="F212" s="1" t="s">
        <v>1223</v>
      </c>
      <c r="G212" s="1" t="str">
        <f t="shared" si="17"/>
        <v>抽屉09特殊铣刀</v>
      </c>
      <c r="H212" t="str">
        <f t="shared" si="19"/>
        <v>行号04</v>
      </c>
      <c r="I212" s="1" t="str">
        <f t="shared" si="20"/>
        <v>序号08</v>
      </c>
      <c r="J212" s="24"/>
      <c r="K212" s="41"/>
      <c r="L212" s="41"/>
      <c r="M212" s="41">
        <v>0</v>
      </c>
      <c r="N212" s="41">
        <v>0</v>
      </c>
    </row>
    <row r="213" spans="1:15">
      <c r="A213" s="8" t="s">
        <v>22</v>
      </c>
      <c r="B213" s="8" t="s">
        <v>352</v>
      </c>
      <c r="C213" s="10" t="s">
        <v>14</v>
      </c>
      <c r="D213" s="8" t="s">
        <v>14</v>
      </c>
      <c r="E213" s="7" t="str">
        <f t="shared" si="18"/>
        <v>050100101</v>
      </c>
      <c r="F213" s="1" t="s">
        <v>1223</v>
      </c>
      <c r="G213" s="1" t="str">
        <f>"抽屉"&amp;B213&amp;"球头铣刀"</f>
        <v>抽屉010球头铣刀</v>
      </c>
      <c r="H213" t="str">
        <f t="shared" si="19"/>
        <v>行号01</v>
      </c>
      <c r="I213" s="1" t="str">
        <f t="shared" si="20"/>
        <v>序号01</v>
      </c>
      <c r="J213" t="s">
        <v>1042</v>
      </c>
      <c r="K213" s="39">
        <v>0</v>
      </c>
      <c r="L213" s="39">
        <v>10</v>
      </c>
      <c r="M213" s="39"/>
      <c r="N213" s="39"/>
      <c r="O213" s="39" t="s">
        <v>1264</v>
      </c>
    </row>
    <row r="214" spans="1:15">
      <c r="A214" s="8" t="s">
        <v>22</v>
      </c>
      <c r="B214" s="8" t="s">
        <v>352</v>
      </c>
      <c r="C214" s="10" t="s">
        <v>14</v>
      </c>
      <c r="D214" s="8" t="s">
        <v>18</v>
      </c>
      <c r="E214" s="7" t="str">
        <f t="shared" si="18"/>
        <v>050100103</v>
      </c>
      <c r="F214" s="1" t="s">
        <v>1223</v>
      </c>
      <c r="G214" s="1" t="str">
        <f t="shared" ref="G214:G230" si="21">"抽屉"&amp;B214&amp;"球头铣刀"</f>
        <v>抽屉010球头铣刀</v>
      </c>
      <c r="H214" t="str">
        <f t="shared" si="19"/>
        <v>行号01</v>
      </c>
      <c r="I214" s="1" t="str">
        <f t="shared" si="20"/>
        <v>序号03</v>
      </c>
      <c r="J214" t="s">
        <v>1044</v>
      </c>
      <c r="K214" s="39">
        <v>0</v>
      </c>
      <c r="L214" s="39">
        <v>10</v>
      </c>
      <c r="M214" s="39"/>
      <c r="N214" s="39"/>
      <c r="O214" s="39" t="s">
        <v>1263</v>
      </c>
    </row>
    <row r="215" spans="1:15">
      <c r="A215" s="8" t="s">
        <v>22</v>
      </c>
      <c r="B215" s="8" t="s">
        <v>352</v>
      </c>
      <c r="C215" s="10" t="s">
        <v>14</v>
      </c>
      <c r="D215" s="8" t="s">
        <v>20</v>
      </c>
      <c r="E215" s="7" t="str">
        <f t="shared" si="18"/>
        <v>050100104</v>
      </c>
      <c r="F215" s="1" t="s">
        <v>1223</v>
      </c>
      <c r="G215" s="1" t="str">
        <f t="shared" si="21"/>
        <v>抽屉010球头铣刀</v>
      </c>
      <c r="H215" t="str">
        <f t="shared" si="19"/>
        <v>行号01</v>
      </c>
      <c r="I215" s="1" t="str">
        <f t="shared" si="20"/>
        <v>序号04</v>
      </c>
      <c r="J215" t="s">
        <v>1045</v>
      </c>
      <c r="K215" s="39">
        <v>0</v>
      </c>
      <c r="L215" s="39">
        <v>10</v>
      </c>
      <c r="M215" s="39"/>
      <c r="N215" s="39"/>
      <c r="O215" s="39" t="s">
        <v>1264</v>
      </c>
    </row>
    <row r="216" spans="1:15">
      <c r="A216" s="8" t="s">
        <v>22</v>
      </c>
      <c r="B216" s="8" t="s">
        <v>352</v>
      </c>
      <c r="C216" s="10" t="s">
        <v>14</v>
      </c>
      <c r="D216" s="8" t="s">
        <v>24</v>
      </c>
      <c r="E216" s="7" t="str">
        <f t="shared" si="18"/>
        <v>050100106</v>
      </c>
      <c r="F216" s="1" t="s">
        <v>1223</v>
      </c>
      <c r="G216" s="1" t="str">
        <f t="shared" si="21"/>
        <v>抽屉010球头铣刀</v>
      </c>
      <c r="H216" t="str">
        <f t="shared" si="19"/>
        <v>行号01</v>
      </c>
      <c r="I216" s="1" t="str">
        <f t="shared" si="20"/>
        <v>序号06</v>
      </c>
      <c r="J216" t="s">
        <v>1047</v>
      </c>
      <c r="K216" s="39">
        <v>0</v>
      </c>
      <c r="L216" s="39">
        <v>10</v>
      </c>
      <c r="M216" s="39"/>
      <c r="N216" s="39"/>
      <c r="O216" s="39" t="s">
        <v>1263</v>
      </c>
    </row>
    <row r="217" spans="1:15">
      <c r="A217" s="8" t="s">
        <v>22</v>
      </c>
      <c r="B217" s="8" t="s">
        <v>352</v>
      </c>
      <c r="C217" s="8" t="s">
        <v>16</v>
      </c>
      <c r="D217" s="11" t="s">
        <v>18</v>
      </c>
      <c r="E217" s="7" t="str">
        <f t="shared" si="18"/>
        <v>050100203</v>
      </c>
      <c r="F217" s="1" t="s">
        <v>1223</v>
      </c>
      <c r="G217" s="1" t="str">
        <f t="shared" si="21"/>
        <v>抽屉010球头铣刀</v>
      </c>
      <c r="H217" t="str">
        <f t="shared" si="19"/>
        <v>行号02</v>
      </c>
      <c r="I217" s="1" t="str">
        <f t="shared" si="20"/>
        <v>序号03</v>
      </c>
      <c r="J217" t="s">
        <v>1050</v>
      </c>
      <c r="K217" s="39">
        <v>0</v>
      </c>
      <c r="L217" s="39">
        <v>10</v>
      </c>
      <c r="M217" s="39"/>
      <c r="N217" s="39"/>
      <c r="O217" s="39" t="s">
        <v>1263</v>
      </c>
    </row>
    <row r="218" spans="1:15">
      <c r="A218" s="8" t="s">
        <v>22</v>
      </c>
      <c r="B218" s="8" t="s">
        <v>352</v>
      </c>
      <c r="C218" s="8" t="s">
        <v>16</v>
      </c>
      <c r="D218" s="11" t="s">
        <v>20</v>
      </c>
      <c r="E218" s="7" t="str">
        <f t="shared" si="18"/>
        <v>050100204</v>
      </c>
      <c r="F218" s="1" t="s">
        <v>1223</v>
      </c>
      <c r="G218" s="1" t="str">
        <f t="shared" si="21"/>
        <v>抽屉010球头铣刀</v>
      </c>
      <c r="H218" t="str">
        <f t="shared" si="19"/>
        <v>行号02</v>
      </c>
      <c r="I218" s="1" t="str">
        <f t="shared" si="20"/>
        <v>序号04</v>
      </c>
      <c r="J218" t="s">
        <v>1051</v>
      </c>
      <c r="K218" s="39">
        <v>0</v>
      </c>
      <c r="L218" s="39">
        <v>10</v>
      </c>
      <c r="M218" s="39"/>
      <c r="N218" s="39"/>
      <c r="O218" s="39" t="s">
        <v>1263</v>
      </c>
    </row>
    <row r="219" spans="1:15">
      <c r="A219" s="8" t="s">
        <v>22</v>
      </c>
      <c r="B219" s="8" t="s">
        <v>352</v>
      </c>
      <c r="C219" s="8" t="s">
        <v>16</v>
      </c>
      <c r="D219" s="11" t="s">
        <v>22</v>
      </c>
      <c r="E219" s="7" t="str">
        <f t="shared" si="18"/>
        <v>050100205</v>
      </c>
      <c r="F219" s="1" t="s">
        <v>1223</v>
      </c>
      <c r="G219" s="1" t="str">
        <f t="shared" si="21"/>
        <v>抽屉010球头铣刀</v>
      </c>
      <c r="H219" t="str">
        <f t="shared" si="19"/>
        <v>行号02</v>
      </c>
      <c r="I219" s="1" t="str">
        <f t="shared" si="20"/>
        <v>序号05</v>
      </c>
      <c r="J219" t="s">
        <v>1052</v>
      </c>
      <c r="K219" s="39">
        <v>0</v>
      </c>
      <c r="L219" s="39">
        <v>10</v>
      </c>
      <c r="M219" s="39"/>
      <c r="N219" s="39"/>
      <c r="O219" s="39" t="s">
        <v>1263</v>
      </c>
    </row>
    <row r="220" spans="1:15">
      <c r="A220" s="8" t="s">
        <v>22</v>
      </c>
      <c r="B220" s="8" t="s">
        <v>352</v>
      </c>
      <c r="C220" s="8" t="s">
        <v>16</v>
      </c>
      <c r="D220" s="11" t="s">
        <v>24</v>
      </c>
      <c r="E220" s="7" t="str">
        <f t="shared" si="18"/>
        <v>050100206</v>
      </c>
      <c r="F220" s="1" t="s">
        <v>1223</v>
      </c>
      <c r="G220" s="1" t="str">
        <f t="shared" si="21"/>
        <v>抽屉010球头铣刀</v>
      </c>
      <c r="H220" t="str">
        <f t="shared" si="19"/>
        <v>行号02</v>
      </c>
      <c r="I220" s="1" t="str">
        <f t="shared" si="20"/>
        <v>序号06</v>
      </c>
      <c r="J220" t="s">
        <v>1053</v>
      </c>
      <c r="K220" s="39">
        <v>0</v>
      </c>
      <c r="L220" s="39">
        <v>10</v>
      </c>
      <c r="M220" s="39"/>
      <c r="N220" s="39"/>
      <c r="O220" s="39" t="s">
        <v>1265</v>
      </c>
    </row>
    <row r="221" spans="1:15">
      <c r="A221" s="8" t="s">
        <v>22</v>
      </c>
      <c r="B221" s="8" t="s">
        <v>352</v>
      </c>
      <c r="C221" s="8" t="s">
        <v>16</v>
      </c>
      <c r="D221" s="11" t="s">
        <v>26</v>
      </c>
      <c r="E221" s="7" t="str">
        <f t="shared" si="18"/>
        <v>050100207</v>
      </c>
      <c r="F221" s="1" t="s">
        <v>1223</v>
      </c>
      <c r="G221" s="1" t="str">
        <f t="shared" si="21"/>
        <v>抽屉010球头铣刀</v>
      </c>
      <c r="H221" t="str">
        <f t="shared" si="19"/>
        <v>行号02</v>
      </c>
      <c r="I221" s="1" t="str">
        <f t="shared" si="20"/>
        <v>序号07</v>
      </c>
      <c r="J221" t="s">
        <v>1054</v>
      </c>
      <c r="K221" s="39">
        <v>0</v>
      </c>
      <c r="L221" s="39">
        <v>10</v>
      </c>
      <c r="M221" s="39"/>
      <c r="N221" s="39"/>
      <c r="O221" s="39" t="s">
        <v>1263</v>
      </c>
    </row>
    <row r="222" spans="1:15">
      <c r="A222" s="8" t="s">
        <v>22</v>
      </c>
      <c r="B222" s="8" t="s">
        <v>352</v>
      </c>
      <c r="C222" s="10" t="s">
        <v>18</v>
      </c>
      <c r="D222" s="8" t="s">
        <v>20</v>
      </c>
      <c r="E222" s="7" t="str">
        <f t="shared" si="18"/>
        <v>050100304</v>
      </c>
      <c r="F222" s="1" t="s">
        <v>1223</v>
      </c>
      <c r="G222" s="1" t="str">
        <f t="shared" si="21"/>
        <v>抽屉010球头铣刀</v>
      </c>
      <c r="H222" t="str">
        <f t="shared" si="19"/>
        <v>行号03</v>
      </c>
      <c r="I222" s="1" t="str">
        <f t="shared" si="20"/>
        <v>序号04</v>
      </c>
      <c r="J222" t="s">
        <v>1059</v>
      </c>
      <c r="K222" s="39">
        <v>0</v>
      </c>
      <c r="L222" s="39">
        <v>5</v>
      </c>
      <c r="M222" s="39"/>
      <c r="N222" s="39"/>
      <c r="O222" s="39" t="s">
        <v>1263</v>
      </c>
    </row>
    <row r="223" spans="1:15">
      <c r="A223" s="8" t="s">
        <v>22</v>
      </c>
      <c r="B223" s="8" t="s">
        <v>352</v>
      </c>
      <c r="C223" s="10" t="s">
        <v>18</v>
      </c>
      <c r="D223" s="8" t="s">
        <v>22</v>
      </c>
      <c r="E223" s="7" t="str">
        <f t="shared" si="18"/>
        <v>050100305</v>
      </c>
      <c r="F223" s="1" t="s">
        <v>1223</v>
      </c>
      <c r="G223" s="1" t="str">
        <f t="shared" si="21"/>
        <v>抽屉010球头铣刀</v>
      </c>
      <c r="H223" t="str">
        <f t="shared" si="19"/>
        <v>行号03</v>
      </c>
      <c r="I223" s="1" t="str">
        <f t="shared" si="20"/>
        <v>序号05</v>
      </c>
      <c r="J223" t="s">
        <v>1060</v>
      </c>
      <c r="K223" s="39">
        <v>0</v>
      </c>
      <c r="L223" s="39">
        <v>8</v>
      </c>
      <c r="M223" s="39"/>
      <c r="N223" s="39"/>
      <c r="O223" s="39" t="s">
        <v>1265</v>
      </c>
    </row>
    <row r="224" spans="1:15">
      <c r="A224" s="8" t="s">
        <v>22</v>
      </c>
      <c r="B224" s="8" t="s">
        <v>352</v>
      </c>
      <c r="C224" s="10" t="s">
        <v>18</v>
      </c>
      <c r="D224" s="8" t="s">
        <v>28</v>
      </c>
      <c r="E224" s="7" t="str">
        <f t="shared" si="18"/>
        <v>050100308</v>
      </c>
      <c r="F224" s="1" t="s">
        <v>1223</v>
      </c>
      <c r="G224" s="1" t="str">
        <f t="shared" si="21"/>
        <v>抽屉010球头铣刀</v>
      </c>
      <c r="H224" t="str">
        <f t="shared" si="19"/>
        <v>行号03</v>
      </c>
      <c r="I224" s="1" t="str">
        <f t="shared" si="20"/>
        <v>序号08</v>
      </c>
      <c r="J224" s="24"/>
      <c r="K224" s="41"/>
      <c r="L224" s="41"/>
      <c r="M224" s="41">
        <v>0</v>
      </c>
      <c r="N224" s="41">
        <v>0</v>
      </c>
      <c r="O224" s="51"/>
    </row>
    <row r="225" spans="1:16">
      <c r="A225" s="8" t="s">
        <v>22</v>
      </c>
      <c r="B225" s="8" t="s">
        <v>352</v>
      </c>
      <c r="C225" s="8" t="s">
        <v>20</v>
      </c>
      <c r="D225" s="11" t="s">
        <v>14</v>
      </c>
      <c r="E225" s="7" t="str">
        <f t="shared" si="18"/>
        <v>050100401</v>
      </c>
      <c r="F225" s="1" t="s">
        <v>1223</v>
      </c>
      <c r="G225" s="1" t="str">
        <f t="shared" si="21"/>
        <v>抽屉010球头铣刀</v>
      </c>
      <c r="H225" t="str">
        <f t="shared" si="19"/>
        <v>行号04</v>
      </c>
      <c r="I225" s="1" t="str">
        <f t="shared" si="20"/>
        <v>序号01</v>
      </c>
      <c r="J225" t="s">
        <v>1063</v>
      </c>
      <c r="K225" s="39">
        <v>0</v>
      </c>
      <c r="L225" s="39">
        <v>3</v>
      </c>
      <c r="M225" s="39"/>
      <c r="N225" s="39"/>
      <c r="O225" s="39" t="s">
        <v>1263</v>
      </c>
    </row>
    <row r="226" spans="1:16">
      <c r="A226" s="8" t="s">
        <v>22</v>
      </c>
      <c r="B226" s="8" t="s">
        <v>352</v>
      </c>
      <c r="C226" s="8" t="s">
        <v>20</v>
      </c>
      <c r="D226" s="11" t="s">
        <v>16</v>
      </c>
      <c r="E226" s="7" t="str">
        <f t="shared" si="18"/>
        <v>050100402</v>
      </c>
      <c r="F226" s="1" t="s">
        <v>1223</v>
      </c>
      <c r="G226" s="1" t="str">
        <f t="shared" si="21"/>
        <v>抽屉010球头铣刀</v>
      </c>
      <c r="H226" t="str">
        <f t="shared" si="19"/>
        <v>行号04</v>
      </c>
      <c r="I226" s="1" t="str">
        <f t="shared" si="20"/>
        <v>序号02</v>
      </c>
      <c r="J226" s="36" t="s">
        <v>1064</v>
      </c>
      <c r="K226" s="39">
        <v>0</v>
      </c>
      <c r="L226" s="39">
        <v>8</v>
      </c>
      <c r="M226" s="39"/>
      <c r="N226" s="39"/>
      <c r="O226" s="39" t="s">
        <v>1265</v>
      </c>
    </row>
    <row r="227" spans="1:16">
      <c r="A227" s="8" t="s">
        <v>22</v>
      </c>
      <c r="B227" s="8" t="s">
        <v>352</v>
      </c>
      <c r="C227" s="8" t="s">
        <v>20</v>
      </c>
      <c r="D227" s="11" t="s">
        <v>18</v>
      </c>
      <c r="E227" s="7" t="str">
        <f t="shared" si="18"/>
        <v>050100403</v>
      </c>
      <c r="F227" s="1" t="s">
        <v>1223</v>
      </c>
      <c r="G227" s="1" t="str">
        <f t="shared" si="21"/>
        <v>抽屉010球头铣刀</v>
      </c>
      <c r="H227" t="str">
        <f t="shared" si="19"/>
        <v>行号04</v>
      </c>
      <c r="I227" s="1" t="str">
        <f t="shared" si="20"/>
        <v>序号03</v>
      </c>
      <c r="J227" s="36" t="s">
        <v>1065</v>
      </c>
      <c r="K227" s="39">
        <v>0</v>
      </c>
      <c r="L227" s="39">
        <v>5</v>
      </c>
      <c r="M227" s="39"/>
      <c r="N227" s="39"/>
      <c r="O227" s="39" t="s">
        <v>1265</v>
      </c>
    </row>
    <row r="228" spans="1:16">
      <c r="A228" s="8" t="s">
        <v>22</v>
      </c>
      <c r="B228" s="8" t="s">
        <v>352</v>
      </c>
      <c r="C228" s="8" t="s">
        <v>20</v>
      </c>
      <c r="D228" s="11" t="s">
        <v>20</v>
      </c>
      <c r="E228" s="7" t="str">
        <f t="shared" si="18"/>
        <v>050100404</v>
      </c>
      <c r="F228" s="1" t="s">
        <v>1223</v>
      </c>
      <c r="G228" s="1" t="str">
        <f t="shared" si="21"/>
        <v>抽屉010球头铣刀</v>
      </c>
      <c r="H228" t="str">
        <f t="shared" si="19"/>
        <v>行号04</v>
      </c>
      <c r="I228" s="1" t="str">
        <f t="shared" si="20"/>
        <v>序号04</v>
      </c>
      <c r="J228" s="36" t="s">
        <v>1066</v>
      </c>
      <c r="K228" s="39">
        <v>0</v>
      </c>
      <c r="L228" s="39">
        <v>5</v>
      </c>
      <c r="M228" s="39"/>
      <c r="N228" s="39"/>
      <c r="O228" s="32" t="s">
        <v>1235</v>
      </c>
    </row>
    <row r="229" spans="1:16">
      <c r="A229" s="8" t="s">
        <v>22</v>
      </c>
      <c r="B229" s="8" t="s">
        <v>352</v>
      </c>
      <c r="C229" s="8" t="s">
        <v>20</v>
      </c>
      <c r="D229" s="11" t="s">
        <v>26</v>
      </c>
      <c r="E229" s="7" t="str">
        <f t="shared" si="18"/>
        <v>050100407</v>
      </c>
      <c r="F229" s="1" t="s">
        <v>1223</v>
      </c>
      <c r="G229" s="1" t="str">
        <f t="shared" si="21"/>
        <v>抽屉010球头铣刀</v>
      </c>
      <c r="H229" t="str">
        <f t="shared" si="19"/>
        <v>行号04</v>
      </c>
      <c r="I229" s="1" t="str">
        <f t="shared" si="20"/>
        <v>序号07</v>
      </c>
      <c r="J229" s="36" t="s">
        <v>1069</v>
      </c>
      <c r="K229" s="39">
        <v>0</v>
      </c>
      <c r="L229" s="39">
        <v>5</v>
      </c>
      <c r="M229" s="39"/>
      <c r="N229" s="39"/>
      <c r="O229" s="39" t="s">
        <v>1232</v>
      </c>
    </row>
    <row r="230" spans="1:16">
      <c r="A230" s="8" t="s">
        <v>22</v>
      </c>
      <c r="B230" s="8" t="s">
        <v>352</v>
      </c>
      <c r="C230" s="8" t="s">
        <v>20</v>
      </c>
      <c r="D230" s="11" t="s">
        <v>28</v>
      </c>
      <c r="E230" s="7" t="str">
        <f t="shared" si="18"/>
        <v>050100408</v>
      </c>
      <c r="F230" s="1" t="s">
        <v>1223</v>
      </c>
      <c r="G230" s="1" t="str">
        <f t="shared" si="21"/>
        <v>抽屉010球头铣刀</v>
      </c>
      <c r="H230" t="str">
        <f t="shared" si="19"/>
        <v>行号04</v>
      </c>
      <c r="I230" s="1" t="str">
        <f t="shared" si="20"/>
        <v>序号08</v>
      </c>
      <c r="J230" s="38"/>
      <c r="K230" s="41"/>
      <c r="L230" s="41"/>
      <c r="M230" s="41">
        <v>0</v>
      </c>
      <c r="N230" s="41">
        <v>0</v>
      </c>
    </row>
    <row r="231" spans="1:16">
      <c r="A231" s="8" t="s">
        <v>22</v>
      </c>
      <c r="B231" s="8" t="s">
        <v>382</v>
      </c>
      <c r="C231" s="10" t="s">
        <v>14</v>
      </c>
      <c r="D231" s="8" t="s">
        <v>14</v>
      </c>
      <c r="E231" s="7" t="str">
        <f t="shared" si="18"/>
        <v>050110101</v>
      </c>
      <c r="F231" s="1" t="s">
        <v>1223</v>
      </c>
      <c r="G231" s="1" t="str">
        <f>"抽屉"&amp;B231&amp;"球头铣刀"</f>
        <v>抽屉011球头铣刀</v>
      </c>
      <c r="H231" t="str">
        <f t="shared" si="19"/>
        <v>行号01</v>
      </c>
      <c r="I231" s="1" t="str">
        <f t="shared" si="20"/>
        <v>序号01</v>
      </c>
      <c r="J231" s="36" t="s">
        <v>1070</v>
      </c>
      <c r="K231" s="39">
        <v>0</v>
      </c>
      <c r="L231" s="39">
        <v>5</v>
      </c>
      <c r="M231" s="39"/>
      <c r="N231" s="39"/>
      <c r="O231" s="39" t="s">
        <v>1263</v>
      </c>
    </row>
    <row r="232" spans="1:16">
      <c r="A232" s="8" t="s">
        <v>22</v>
      </c>
      <c r="B232" s="8" t="s">
        <v>382</v>
      </c>
      <c r="C232" s="10" t="s">
        <v>14</v>
      </c>
      <c r="D232" s="8" t="s">
        <v>16</v>
      </c>
      <c r="E232" s="7" t="str">
        <f t="shared" si="18"/>
        <v>050110102</v>
      </c>
      <c r="F232" s="1" t="s">
        <v>1223</v>
      </c>
      <c r="G232" s="1" t="str">
        <f t="shared" ref="G232:G248" si="22">"抽屉"&amp;B232&amp;"球头铣刀"</f>
        <v>抽屉011球头铣刀</v>
      </c>
      <c r="H232" t="str">
        <f t="shared" si="19"/>
        <v>行号01</v>
      </c>
      <c r="I232" s="1" t="str">
        <f t="shared" si="20"/>
        <v>序号02</v>
      </c>
      <c r="J232" s="36" t="s">
        <v>1071</v>
      </c>
      <c r="K232" s="39">
        <v>0</v>
      </c>
      <c r="L232" s="39">
        <v>5</v>
      </c>
      <c r="M232" s="39"/>
      <c r="N232" s="39"/>
      <c r="O232" s="39" t="s">
        <v>1232</v>
      </c>
      <c r="P232" s="31">
        <v>968949</v>
      </c>
    </row>
    <row r="233" spans="1:16">
      <c r="A233" s="8" t="s">
        <v>22</v>
      </c>
      <c r="B233" s="8" t="s">
        <v>382</v>
      </c>
      <c r="C233" s="10" t="s">
        <v>14</v>
      </c>
      <c r="D233" s="8" t="s">
        <v>22</v>
      </c>
      <c r="E233" s="7" t="str">
        <f t="shared" si="18"/>
        <v>050110105</v>
      </c>
      <c r="F233" s="1" t="s">
        <v>1223</v>
      </c>
      <c r="G233" s="1" t="str">
        <f t="shared" si="22"/>
        <v>抽屉011球头铣刀</v>
      </c>
      <c r="H233" t="str">
        <f t="shared" si="19"/>
        <v>行号01</v>
      </c>
      <c r="I233" s="1" t="str">
        <f t="shared" si="20"/>
        <v>序号05</v>
      </c>
      <c r="J233" s="36" t="s">
        <v>1074</v>
      </c>
      <c r="K233" s="39">
        <v>0</v>
      </c>
      <c r="L233" s="39">
        <v>5</v>
      </c>
      <c r="M233" s="39"/>
      <c r="N233" s="39"/>
      <c r="O233" s="39" t="s">
        <v>1265</v>
      </c>
    </row>
    <row r="234" spans="1:16">
      <c r="A234" s="8" t="s">
        <v>22</v>
      </c>
      <c r="B234" s="8" t="s">
        <v>382</v>
      </c>
      <c r="C234" s="10" t="s">
        <v>14</v>
      </c>
      <c r="D234" s="8" t="s">
        <v>24</v>
      </c>
      <c r="E234" s="7" t="str">
        <f t="shared" si="18"/>
        <v>050110106</v>
      </c>
      <c r="F234" s="1" t="s">
        <v>1223</v>
      </c>
      <c r="G234" s="1" t="str">
        <f t="shared" si="22"/>
        <v>抽屉011球头铣刀</v>
      </c>
      <c r="H234" t="str">
        <f t="shared" si="19"/>
        <v>行号01</v>
      </c>
      <c r="I234" s="1" t="str">
        <f t="shared" si="20"/>
        <v>序号06</v>
      </c>
      <c r="J234" s="36" t="s">
        <v>1075</v>
      </c>
      <c r="K234" s="39">
        <v>0</v>
      </c>
      <c r="L234" s="39">
        <v>5</v>
      </c>
      <c r="M234" s="39"/>
      <c r="N234" s="39"/>
      <c r="O234" s="32" t="s">
        <v>1235</v>
      </c>
    </row>
    <row r="235" spans="1:16">
      <c r="A235" s="8" t="s">
        <v>22</v>
      </c>
      <c r="B235" s="8" t="s">
        <v>382</v>
      </c>
      <c r="C235" s="10" t="s">
        <v>14</v>
      </c>
      <c r="D235" s="8" t="s">
        <v>26</v>
      </c>
      <c r="E235" s="7" t="str">
        <f t="shared" si="18"/>
        <v>050110107</v>
      </c>
      <c r="F235" s="1" t="s">
        <v>1223</v>
      </c>
      <c r="G235" s="1" t="str">
        <f t="shared" si="22"/>
        <v>抽屉011球头铣刀</v>
      </c>
      <c r="H235" t="str">
        <f t="shared" si="19"/>
        <v>行号01</v>
      </c>
      <c r="I235" s="1" t="str">
        <f t="shared" si="20"/>
        <v>序号07</v>
      </c>
      <c r="J235" s="38"/>
      <c r="K235" s="41"/>
      <c r="L235" s="41"/>
      <c r="M235" s="41">
        <v>0</v>
      </c>
      <c r="N235" s="41">
        <v>0</v>
      </c>
    </row>
    <row r="236" spans="1:16">
      <c r="A236" s="8" t="s">
        <v>22</v>
      </c>
      <c r="B236" s="8" t="s">
        <v>382</v>
      </c>
      <c r="C236" s="10" t="s">
        <v>14</v>
      </c>
      <c r="D236" s="8" t="s">
        <v>28</v>
      </c>
      <c r="E236" s="7" t="str">
        <f t="shared" si="18"/>
        <v>050110108</v>
      </c>
      <c r="F236" s="1" t="s">
        <v>1223</v>
      </c>
      <c r="G236" s="1" t="str">
        <f t="shared" si="22"/>
        <v>抽屉011球头铣刀</v>
      </c>
      <c r="H236" t="str">
        <f t="shared" si="19"/>
        <v>行号01</v>
      </c>
      <c r="I236" s="1" t="str">
        <f t="shared" si="20"/>
        <v>序号08</v>
      </c>
      <c r="J236" s="38"/>
      <c r="K236" s="41"/>
      <c r="L236" s="41"/>
      <c r="M236" s="41">
        <v>0</v>
      </c>
      <c r="N236" s="41">
        <v>0</v>
      </c>
    </row>
    <row r="237" spans="1:16">
      <c r="A237" s="8" t="s">
        <v>22</v>
      </c>
      <c r="B237" s="8" t="s">
        <v>382</v>
      </c>
      <c r="C237" s="8" t="s">
        <v>16</v>
      </c>
      <c r="D237" s="11" t="s">
        <v>20</v>
      </c>
      <c r="E237" s="7" t="str">
        <f t="shared" si="18"/>
        <v>050110204</v>
      </c>
      <c r="F237" s="1" t="s">
        <v>1223</v>
      </c>
      <c r="G237" s="1" t="str">
        <f t="shared" si="22"/>
        <v>抽屉011球头铣刀</v>
      </c>
      <c r="H237" t="str">
        <f t="shared" si="19"/>
        <v>行号02</v>
      </c>
      <c r="I237" s="1" t="str">
        <f t="shared" si="20"/>
        <v>序号04</v>
      </c>
      <c r="J237" s="36" t="s">
        <v>1079</v>
      </c>
      <c r="K237" s="39">
        <v>0</v>
      </c>
      <c r="L237" s="39">
        <v>5</v>
      </c>
      <c r="M237" s="39"/>
      <c r="N237" s="39"/>
      <c r="O237" s="39" t="s">
        <v>1263</v>
      </c>
    </row>
    <row r="238" spans="1:16">
      <c r="A238" s="8" t="s">
        <v>22</v>
      </c>
      <c r="B238" s="8" t="s">
        <v>382</v>
      </c>
      <c r="C238" s="8" t="s">
        <v>16</v>
      </c>
      <c r="D238" s="11" t="s">
        <v>24</v>
      </c>
      <c r="E238" s="7" t="str">
        <f t="shared" si="18"/>
        <v>050110206</v>
      </c>
      <c r="F238" s="1" t="s">
        <v>1223</v>
      </c>
      <c r="G238" s="1" t="str">
        <f t="shared" si="22"/>
        <v>抽屉011球头铣刀</v>
      </c>
      <c r="H238" t="str">
        <f t="shared" si="19"/>
        <v>行号02</v>
      </c>
      <c r="I238" s="1" t="str">
        <f t="shared" si="20"/>
        <v>序号06</v>
      </c>
      <c r="J238" s="36" t="s">
        <v>1081</v>
      </c>
      <c r="K238" s="39">
        <v>0</v>
      </c>
      <c r="L238" s="39">
        <v>5</v>
      </c>
      <c r="M238" s="39"/>
      <c r="N238" s="39"/>
      <c r="O238" s="39" t="s">
        <v>1263</v>
      </c>
    </row>
    <row r="239" spans="1:16">
      <c r="A239" s="8" t="s">
        <v>22</v>
      </c>
      <c r="B239" s="8" t="s">
        <v>382</v>
      </c>
      <c r="C239" s="8" t="s">
        <v>16</v>
      </c>
      <c r="D239" s="11" t="s">
        <v>28</v>
      </c>
      <c r="E239" s="7" t="str">
        <f t="shared" si="18"/>
        <v>050110208</v>
      </c>
      <c r="F239" s="1" t="s">
        <v>1223</v>
      </c>
      <c r="G239" s="1" t="str">
        <f t="shared" si="22"/>
        <v>抽屉011球头铣刀</v>
      </c>
      <c r="H239" t="str">
        <f t="shared" si="19"/>
        <v>行号02</v>
      </c>
      <c r="I239" s="1" t="str">
        <f t="shared" si="20"/>
        <v>序号08</v>
      </c>
      <c r="J239" s="38"/>
      <c r="K239" s="41"/>
      <c r="L239" s="41"/>
      <c r="M239" s="41">
        <v>0</v>
      </c>
      <c r="N239" s="41">
        <v>0</v>
      </c>
    </row>
    <row r="240" spans="1:16">
      <c r="A240" s="8" t="s">
        <v>22</v>
      </c>
      <c r="B240" s="8" t="s">
        <v>382</v>
      </c>
      <c r="C240" s="10" t="s">
        <v>18</v>
      </c>
      <c r="D240" s="8" t="s">
        <v>20</v>
      </c>
      <c r="E240" s="7" t="str">
        <f t="shared" si="18"/>
        <v>050110304</v>
      </c>
      <c r="F240" s="1" t="s">
        <v>1223</v>
      </c>
      <c r="G240" s="1" t="str">
        <f t="shared" si="22"/>
        <v>抽屉011球头铣刀</v>
      </c>
      <c r="H240" t="str">
        <f t="shared" si="19"/>
        <v>行号03</v>
      </c>
      <c r="I240" s="1" t="str">
        <f t="shared" si="20"/>
        <v>序号04</v>
      </c>
      <c r="J240" s="36" t="s">
        <v>1086</v>
      </c>
      <c r="K240" s="39">
        <v>0</v>
      </c>
      <c r="L240" s="39">
        <v>5</v>
      </c>
      <c r="M240" s="39"/>
      <c r="N240" s="39"/>
      <c r="O240" s="17" t="s">
        <v>1268</v>
      </c>
    </row>
    <row r="241" spans="1:15">
      <c r="A241" s="8" t="s">
        <v>22</v>
      </c>
      <c r="B241" s="8" t="s">
        <v>382</v>
      </c>
      <c r="C241" s="10" t="s">
        <v>18</v>
      </c>
      <c r="D241" s="8" t="s">
        <v>26</v>
      </c>
      <c r="E241" s="7" t="str">
        <f t="shared" si="18"/>
        <v>050110307</v>
      </c>
      <c r="F241" s="1" t="s">
        <v>1223</v>
      </c>
      <c r="G241" s="1" t="str">
        <f t="shared" si="22"/>
        <v>抽屉011球头铣刀</v>
      </c>
      <c r="H241" t="str">
        <f t="shared" si="19"/>
        <v>行号03</v>
      </c>
      <c r="I241" s="1" t="str">
        <f t="shared" si="20"/>
        <v>序号07</v>
      </c>
      <c r="J241" s="38"/>
      <c r="K241" s="41"/>
      <c r="L241" s="41"/>
      <c r="M241" s="41">
        <v>0</v>
      </c>
      <c r="N241" s="41">
        <v>0</v>
      </c>
    </row>
    <row r="242" spans="1:15">
      <c r="A242" s="8" t="s">
        <v>22</v>
      </c>
      <c r="B242" s="8" t="s">
        <v>382</v>
      </c>
      <c r="C242" s="10" t="s">
        <v>18</v>
      </c>
      <c r="D242" s="8" t="s">
        <v>28</v>
      </c>
      <c r="E242" s="7" t="str">
        <f t="shared" si="18"/>
        <v>050110308</v>
      </c>
      <c r="F242" s="1" t="s">
        <v>1223</v>
      </c>
      <c r="G242" s="1" t="str">
        <f t="shared" si="22"/>
        <v>抽屉011球头铣刀</v>
      </c>
      <c r="H242" t="str">
        <f t="shared" si="19"/>
        <v>行号03</v>
      </c>
      <c r="I242" s="1" t="str">
        <f t="shared" si="20"/>
        <v>序号08</v>
      </c>
      <c r="J242" s="38"/>
      <c r="K242" s="41"/>
      <c r="L242" s="41"/>
      <c r="M242" s="41">
        <v>0</v>
      </c>
      <c r="N242" s="41">
        <v>0</v>
      </c>
    </row>
    <row r="243" spans="1:15">
      <c r="A243" s="8" t="s">
        <v>22</v>
      </c>
      <c r="B243" s="8" t="s">
        <v>382</v>
      </c>
      <c r="C243" s="8" t="s">
        <v>20</v>
      </c>
      <c r="D243" s="11" t="s">
        <v>16</v>
      </c>
      <c r="E243" s="7" t="str">
        <f t="shared" si="18"/>
        <v>050110402</v>
      </c>
      <c r="F243" s="1" t="s">
        <v>1223</v>
      </c>
      <c r="G243" s="1" t="str">
        <f t="shared" si="22"/>
        <v>抽屉011球头铣刀</v>
      </c>
      <c r="H243" t="str">
        <f t="shared" si="19"/>
        <v>行号04</v>
      </c>
      <c r="I243" s="1" t="str">
        <f t="shared" si="20"/>
        <v>序号02</v>
      </c>
      <c r="J243" s="36" t="s">
        <v>1090</v>
      </c>
      <c r="K243" s="39">
        <v>0</v>
      </c>
      <c r="L243" s="39">
        <v>5</v>
      </c>
      <c r="M243" s="39"/>
      <c r="N243" s="39"/>
      <c r="O243" s="17" t="s">
        <v>1265</v>
      </c>
    </row>
    <row r="244" spans="1:15">
      <c r="A244" s="8" t="s">
        <v>22</v>
      </c>
      <c r="B244" s="8" t="s">
        <v>382</v>
      </c>
      <c r="C244" s="8" t="s">
        <v>20</v>
      </c>
      <c r="D244" s="11" t="s">
        <v>20</v>
      </c>
      <c r="E244" s="7" t="str">
        <f t="shared" si="18"/>
        <v>050110404</v>
      </c>
      <c r="F244" s="1" t="s">
        <v>1223</v>
      </c>
      <c r="G244" s="1" t="str">
        <f t="shared" si="22"/>
        <v>抽屉011球头铣刀</v>
      </c>
      <c r="H244" t="str">
        <f t="shared" si="19"/>
        <v>行号04</v>
      </c>
      <c r="I244" s="1" t="str">
        <f t="shared" si="20"/>
        <v>序号04</v>
      </c>
      <c r="J244" s="38"/>
      <c r="K244" s="41"/>
      <c r="L244" s="41"/>
      <c r="M244" s="41">
        <v>0</v>
      </c>
      <c r="N244" s="41">
        <v>0</v>
      </c>
    </row>
    <row r="245" spans="1:15">
      <c r="A245" s="8" t="s">
        <v>22</v>
      </c>
      <c r="B245" s="8" t="s">
        <v>382</v>
      </c>
      <c r="C245" s="8" t="s">
        <v>20</v>
      </c>
      <c r="D245" s="11" t="s">
        <v>22</v>
      </c>
      <c r="E245" s="7" t="str">
        <f t="shared" si="18"/>
        <v>050110405</v>
      </c>
      <c r="F245" s="1" t="s">
        <v>1223</v>
      </c>
      <c r="G245" s="1" t="str">
        <f t="shared" si="22"/>
        <v>抽屉011球头铣刀</v>
      </c>
      <c r="H245" t="str">
        <f t="shared" si="19"/>
        <v>行号04</v>
      </c>
      <c r="I245" s="1" t="str">
        <f t="shared" si="20"/>
        <v>序号05</v>
      </c>
      <c r="J245" s="38"/>
      <c r="K245" s="41"/>
      <c r="L245" s="41"/>
      <c r="M245" s="41">
        <v>0</v>
      </c>
      <c r="N245" s="41">
        <v>0</v>
      </c>
    </row>
    <row r="246" spans="1:15">
      <c r="A246" s="8" t="s">
        <v>22</v>
      </c>
      <c r="B246" s="8" t="s">
        <v>382</v>
      </c>
      <c r="C246" s="8" t="s">
        <v>20</v>
      </c>
      <c r="D246" s="11" t="s">
        <v>24</v>
      </c>
      <c r="E246" s="7" t="str">
        <f t="shared" si="18"/>
        <v>050110406</v>
      </c>
      <c r="F246" s="1" t="s">
        <v>1223</v>
      </c>
      <c r="G246" s="1" t="str">
        <f t="shared" si="22"/>
        <v>抽屉011球头铣刀</v>
      </c>
      <c r="H246" t="str">
        <f t="shared" si="19"/>
        <v>行号04</v>
      </c>
      <c r="I246" s="1" t="str">
        <f t="shared" si="20"/>
        <v>序号06</v>
      </c>
      <c r="J246" s="38"/>
      <c r="K246" s="41"/>
      <c r="L246" s="41"/>
      <c r="M246" s="41">
        <v>0</v>
      </c>
      <c r="N246" s="41">
        <v>0</v>
      </c>
    </row>
    <row r="247" spans="1:15">
      <c r="A247" s="8" t="s">
        <v>22</v>
      </c>
      <c r="B247" s="8" t="s">
        <v>382</v>
      </c>
      <c r="C247" s="8" t="s">
        <v>20</v>
      </c>
      <c r="D247" s="11" t="s">
        <v>26</v>
      </c>
      <c r="E247" s="7" t="str">
        <f t="shared" si="18"/>
        <v>050110407</v>
      </c>
      <c r="F247" s="1" t="s">
        <v>1223</v>
      </c>
      <c r="G247" s="1" t="str">
        <f t="shared" si="22"/>
        <v>抽屉011球头铣刀</v>
      </c>
      <c r="H247" t="str">
        <f t="shared" si="19"/>
        <v>行号04</v>
      </c>
      <c r="I247" s="1" t="str">
        <f t="shared" si="20"/>
        <v>序号07</v>
      </c>
      <c r="J247" s="38"/>
      <c r="K247" s="41"/>
      <c r="L247" s="41"/>
      <c r="M247" s="41">
        <v>0</v>
      </c>
      <c r="N247" s="41">
        <v>0</v>
      </c>
    </row>
    <row r="248" spans="1:15">
      <c r="A248" s="8" t="s">
        <v>22</v>
      </c>
      <c r="B248" s="8" t="s">
        <v>382</v>
      </c>
      <c r="C248" s="8" t="s">
        <v>20</v>
      </c>
      <c r="D248" s="11" t="s">
        <v>28</v>
      </c>
      <c r="E248" s="7" t="str">
        <f t="shared" si="18"/>
        <v>050110408</v>
      </c>
      <c r="F248" s="1" t="s">
        <v>1223</v>
      </c>
      <c r="G248" s="1" t="str">
        <f t="shared" si="22"/>
        <v>抽屉011球头铣刀</v>
      </c>
      <c r="H248" t="str">
        <f t="shared" si="19"/>
        <v>行号04</v>
      </c>
      <c r="I248" s="1" t="str">
        <f t="shared" si="20"/>
        <v>序号08</v>
      </c>
      <c r="J248" s="24"/>
      <c r="K248" s="41"/>
      <c r="L248" s="41"/>
      <c r="M248" s="41">
        <v>0</v>
      </c>
      <c r="N248" s="41">
        <v>0</v>
      </c>
    </row>
    <row r="249" spans="1:15">
      <c r="A249" s="8" t="s">
        <v>22</v>
      </c>
      <c r="B249" s="8" t="s">
        <v>398</v>
      </c>
      <c r="C249" s="10" t="s">
        <v>14</v>
      </c>
      <c r="D249" s="8" t="s">
        <v>14</v>
      </c>
      <c r="E249" s="7" t="str">
        <f t="shared" si="18"/>
        <v>050120101</v>
      </c>
      <c r="F249" s="1" t="s">
        <v>1223</v>
      </c>
      <c r="G249" s="1" t="str">
        <f>"抽屉"&amp;B249&amp;"球头铣刀"</f>
        <v>抽屉012球头铣刀</v>
      </c>
      <c r="H249" t="str">
        <f t="shared" si="19"/>
        <v>行号01</v>
      </c>
      <c r="I249" s="1" t="str">
        <f t="shared" si="20"/>
        <v>序号01</v>
      </c>
      <c r="J249" t="s">
        <v>1092</v>
      </c>
      <c r="K249" s="39">
        <v>0</v>
      </c>
      <c r="L249" s="39">
        <v>3</v>
      </c>
      <c r="M249" s="39"/>
      <c r="N249" s="39"/>
      <c r="O249" s="17" t="s">
        <v>1265</v>
      </c>
    </row>
    <row r="250" spans="1:15">
      <c r="A250" s="8" t="s">
        <v>22</v>
      </c>
      <c r="B250" s="8" t="s">
        <v>398</v>
      </c>
      <c r="C250" s="10" t="s">
        <v>14</v>
      </c>
      <c r="D250" s="8" t="s">
        <v>20</v>
      </c>
      <c r="E250" s="7" t="str">
        <f t="shared" si="18"/>
        <v>050120104</v>
      </c>
      <c r="F250" s="1" t="s">
        <v>1223</v>
      </c>
      <c r="G250" s="1" t="str">
        <f t="shared" ref="G250:G274" si="23">"抽屉"&amp;B250&amp;"球头铣刀"</f>
        <v>抽屉012球头铣刀</v>
      </c>
      <c r="H250" t="str">
        <f t="shared" si="19"/>
        <v>行号01</v>
      </c>
      <c r="I250" s="1" t="str">
        <f t="shared" si="20"/>
        <v>序号04</v>
      </c>
      <c r="J250" s="36" t="s">
        <v>1095</v>
      </c>
      <c r="K250" s="39">
        <v>0</v>
      </c>
      <c r="L250" s="39">
        <v>3</v>
      </c>
      <c r="M250" s="39"/>
      <c r="N250" s="39"/>
      <c r="O250" s="17" t="s">
        <v>1265</v>
      </c>
    </row>
    <row r="251" spans="1:15">
      <c r="A251" s="8" t="s">
        <v>22</v>
      </c>
      <c r="B251" s="8" t="s">
        <v>398</v>
      </c>
      <c r="C251" s="10" t="s">
        <v>14</v>
      </c>
      <c r="D251" s="8" t="s">
        <v>24</v>
      </c>
      <c r="E251" s="7" t="str">
        <f t="shared" si="18"/>
        <v>050120106</v>
      </c>
      <c r="F251" s="1" t="s">
        <v>1223</v>
      </c>
      <c r="G251" s="1" t="str">
        <f t="shared" si="23"/>
        <v>抽屉012球头铣刀</v>
      </c>
      <c r="H251" t="str">
        <f t="shared" si="19"/>
        <v>行号01</v>
      </c>
      <c r="I251" s="1" t="str">
        <f t="shared" si="20"/>
        <v>序号06</v>
      </c>
      <c r="J251" s="36" t="s">
        <v>1097</v>
      </c>
      <c r="K251" s="39">
        <v>0</v>
      </c>
      <c r="L251" s="39">
        <v>3</v>
      </c>
      <c r="M251" s="39"/>
      <c r="N251" s="39"/>
      <c r="O251" s="17" t="s">
        <v>1265</v>
      </c>
    </row>
    <row r="252" spans="1:15">
      <c r="A252" s="8" t="s">
        <v>22</v>
      </c>
      <c r="B252" s="8" t="s">
        <v>398</v>
      </c>
      <c r="C252" s="10" t="s">
        <v>14</v>
      </c>
      <c r="D252" s="8" t="s">
        <v>28</v>
      </c>
      <c r="E252" s="7" t="str">
        <f t="shared" si="18"/>
        <v>050120108</v>
      </c>
      <c r="F252" s="1" t="s">
        <v>1223</v>
      </c>
      <c r="G252" s="1" t="str">
        <f t="shared" si="23"/>
        <v>抽屉012球头铣刀</v>
      </c>
      <c r="H252" t="str">
        <f t="shared" si="19"/>
        <v>行号01</v>
      </c>
      <c r="I252" s="1" t="str">
        <f t="shared" si="20"/>
        <v>序号08</v>
      </c>
      <c r="J252" s="38"/>
      <c r="K252" s="41"/>
      <c r="L252" s="41"/>
      <c r="M252" s="41">
        <v>0</v>
      </c>
      <c r="N252" s="41">
        <v>0</v>
      </c>
    </row>
    <row r="253" spans="1:15">
      <c r="A253" s="8" t="s">
        <v>22</v>
      </c>
      <c r="B253" s="8" t="s">
        <v>398</v>
      </c>
      <c r="C253" s="8" t="s">
        <v>16</v>
      </c>
      <c r="D253" s="11" t="s">
        <v>18</v>
      </c>
      <c r="E253" s="7" t="str">
        <f t="shared" si="18"/>
        <v>050120203</v>
      </c>
      <c r="F253" s="1" t="s">
        <v>1223</v>
      </c>
      <c r="G253" s="1" t="str">
        <f t="shared" si="23"/>
        <v>抽屉012球头铣刀</v>
      </c>
      <c r="H253" t="str">
        <f t="shared" si="19"/>
        <v>行号02</v>
      </c>
      <c r="I253" s="1" t="str">
        <f t="shared" si="20"/>
        <v>序号03</v>
      </c>
      <c r="J253" s="36" t="s">
        <v>1101</v>
      </c>
      <c r="K253" s="39">
        <v>0</v>
      </c>
      <c r="L253" s="39">
        <v>3</v>
      </c>
      <c r="M253" s="39"/>
      <c r="N253" s="39"/>
      <c r="O253" s="17" t="s">
        <v>1244</v>
      </c>
    </row>
    <row r="254" spans="1:15">
      <c r="A254" s="8" t="s">
        <v>22</v>
      </c>
      <c r="B254" s="8" t="s">
        <v>398</v>
      </c>
      <c r="C254" s="8" t="s">
        <v>16</v>
      </c>
      <c r="D254" s="11" t="s">
        <v>20</v>
      </c>
      <c r="E254" s="7" t="str">
        <f t="shared" si="18"/>
        <v>050120204</v>
      </c>
      <c r="F254" s="1" t="s">
        <v>1223</v>
      </c>
      <c r="G254" s="1" t="str">
        <f t="shared" si="23"/>
        <v>抽屉012球头铣刀</v>
      </c>
      <c r="H254" t="str">
        <f t="shared" si="19"/>
        <v>行号02</v>
      </c>
      <c r="I254" s="1" t="str">
        <f t="shared" si="20"/>
        <v>序号04</v>
      </c>
      <c r="J254" s="36" t="s">
        <v>1102</v>
      </c>
      <c r="K254" s="39">
        <v>0</v>
      </c>
      <c r="L254" s="39">
        <v>3</v>
      </c>
      <c r="M254" s="39"/>
      <c r="N254" s="39"/>
      <c r="O254" s="17" t="s">
        <v>1244</v>
      </c>
    </row>
    <row r="255" spans="1:15">
      <c r="A255" s="8" t="s">
        <v>22</v>
      </c>
      <c r="B255" s="8" t="s">
        <v>398</v>
      </c>
      <c r="C255" s="8" t="s">
        <v>16</v>
      </c>
      <c r="D255" s="11" t="s">
        <v>22</v>
      </c>
      <c r="E255" s="7" t="str">
        <f t="shared" si="18"/>
        <v>050120205</v>
      </c>
      <c r="F255" s="1" t="s">
        <v>1223</v>
      </c>
      <c r="G255" s="1" t="str">
        <f t="shared" si="23"/>
        <v>抽屉012球头铣刀</v>
      </c>
      <c r="H255" t="str">
        <f t="shared" si="19"/>
        <v>行号02</v>
      </c>
      <c r="I255" s="1" t="str">
        <f t="shared" si="20"/>
        <v>序号05</v>
      </c>
      <c r="J255" s="38"/>
      <c r="K255" s="41"/>
      <c r="L255" s="41"/>
      <c r="M255" s="41">
        <v>0</v>
      </c>
      <c r="N255" s="41">
        <v>0</v>
      </c>
    </row>
    <row r="256" spans="1:15">
      <c r="A256" s="8" t="s">
        <v>22</v>
      </c>
      <c r="B256" s="8" t="s">
        <v>398</v>
      </c>
      <c r="C256" s="8" t="s">
        <v>16</v>
      </c>
      <c r="D256" s="11" t="s">
        <v>24</v>
      </c>
      <c r="E256" s="7" t="str">
        <f t="shared" si="18"/>
        <v>050120206</v>
      </c>
      <c r="F256" s="1" t="s">
        <v>1223</v>
      </c>
      <c r="G256" s="1" t="str">
        <f t="shared" si="23"/>
        <v>抽屉012球头铣刀</v>
      </c>
      <c r="H256" t="str">
        <f t="shared" si="19"/>
        <v>行号02</v>
      </c>
      <c r="I256" s="1" t="str">
        <f t="shared" si="20"/>
        <v>序号06</v>
      </c>
      <c r="J256" s="38"/>
      <c r="K256" s="41"/>
      <c r="L256" s="41"/>
      <c r="M256" s="41">
        <v>0</v>
      </c>
      <c r="N256" s="41">
        <v>0</v>
      </c>
    </row>
    <row r="257" spans="1:15">
      <c r="A257" s="8" t="s">
        <v>22</v>
      </c>
      <c r="B257" s="8" t="s">
        <v>398</v>
      </c>
      <c r="C257" s="8" t="s">
        <v>16</v>
      </c>
      <c r="D257" s="11" t="s">
        <v>26</v>
      </c>
      <c r="E257" s="7" t="str">
        <f t="shared" si="18"/>
        <v>050120207</v>
      </c>
      <c r="F257" s="1" t="s">
        <v>1223</v>
      </c>
      <c r="G257" s="1" t="str">
        <f t="shared" si="23"/>
        <v>抽屉012球头铣刀</v>
      </c>
      <c r="H257" t="str">
        <f t="shared" si="19"/>
        <v>行号02</v>
      </c>
      <c r="I257" s="1" t="str">
        <f t="shared" si="20"/>
        <v>序号07</v>
      </c>
      <c r="J257" s="24"/>
      <c r="K257" s="41"/>
      <c r="L257" s="41"/>
      <c r="M257" s="41">
        <v>0</v>
      </c>
      <c r="N257" s="41">
        <v>0</v>
      </c>
    </row>
    <row r="258" spans="1:15">
      <c r="A258" s="8" t="s">
        <v>22</v>
      </c>
      <c r="B258" s="8" t="s">
        <v>398</v>
      </c>
      <c r="C258" s="8" t="s">
        <v>16</v>
      </c>
      <c r="D258" s="11" t="s">
        <v>28</v>
      </c>
      <c r="E258" s="7" t="str">
        <f t="shared" ref="E258:E321" si="24">A258&amp;B258&amp;C258&amp;D258</f>
        <v>050120208</v>
      </c>
      <c r="F258" s="1" t="s">
        <v>1223</v>
      </c>
      <c r="G258" s="1" t="str">
        <f t="shared" si="23"/>
        <v>抽屉012球头铣刀</v>
      </c>
      <c r="H258" t="str">
        <f t="shared" ref="H258:H321" si="25">"行号"&amp;C258</f>
        <v>行号02</v>
      </c>
      <c r="I258" s="1" t="str">
        <f t="shared" ref="I258:I321" si="26">"序号"&amp;D258</f>
        <v>序号08</v>
      </c>
      <c r="J258" s="38"/>
      <c r="K258" s="41"/>
      <c r="L258" s="41"/>
      <c r="M258" s="41">
        <v>0</v>
      </c>
      <c r="N258" s="41">
        <v>0</v>
      </c>
    </row>
    <row r="259" spans="1:15">
      <c r="A259" s="8" t="s">
        <v>22</v>
      </c>
      <c r="B259" s="8" t="s">
        <v>398</v>
      </c>
      <c r="C259" s="10" t="s">
        <v>18</v>
      </c>
      <c r="D259" s="8" t="s">
        <v>14</v>
      </c>
      <c r="E259" s="7" t="str">
        <f t="shared" si="24"/>
        <v>050120301</v>
      </c>
      <c r="F259" s="1" t="s">
        <v>1223</v>
      </c>
      <c r="G259" s="1" t="str">
        <f t="shared" si="23"/>
        <v>抽屉012球头铣刀</v>
      </c>
      <c r="H259" t="str">
        <f t="shared" si="25"/>
        <v>行号03</v>
      </c>
      <c r="I259" s="1" t="str">
        <f t="shared" si="26"/>
        <v>序号01</v>
      </c>
      <c r="J259" s="36" t="s">
        <v>1103</v>
      </c>
      <c r="K259" s="39">
        <v>0</v>
      </c>
      <c r="L259" s="39">
        <v>3</v>
      </c>
      <c r="M259" s="39"/>
      <c r="N259" s="39"/>
      <c r="O259" s="17" t="s">
        <v>1269</v>
      </c>
    </row>
    <row r="260" spans="1:15">
      <c r="A260" s="8" t="s">
        <v>22</v>
      </c>
      <c r="B260" s="8" t="s">
        <v>398</v>
      </c>
      <c r="C260" s="10" t="s">
        <v>18</v>
      </c>
      <c r="D260" s="8" t="s">
        <v>16</v>
      </c>
      <c r="E260" s="7" t="str">
        <f t="shared" si="24"/>
        <v>050120302</v>
      </c>
      <c r="F260" s="1" t="s">
        <v>1223</v>
      </c>
      <c r="G260" s="1" t="str">
        <f t="shared" si="23"/>
        <v>抽屉012球头铣刀</v>
      </c>
      <c r="H260" t="str">
        <f t="shared" si="25"/>
        <v>行号03</v>
      </c>
      <c r="I260" s="1" t="str">
        <f t="shared" si="26"/>
        <v>序号02</v>
      </c>
      <c r="J260" s="36" t="s">
        <v>1104</v>
      </c>
      <c r="K260" s="39">
        <v>0</v>
      </c>
      <c r="L260" s="39">
        <v>3</v>
      </c>
      <c r="M260" s="39"/>
      <c r="N260" s="39"/>
      <c r="O260" s="39" t="s">
        <v>1263</v>
      </c>
    </row>
    <row r="261" spans="1:15">
      <c r="A261" s="8" t="s">
        <v>22</v>
      </c>
      <c r="B261" s="8" t="s">
        <v>398</v>
      </c>
      <c r="C261" s="10" t="s">
        <v>18</v>
      </c>
      <c r="D261" s="8" t="s">
        <v>18</v>
      </c>
      <c r="E261" s="7" t="str">
        <f t="shared" si="24"/>
        <v>050120303</v>
      </c>
      <c r="F261" s="1" t="s">
        <v>1223</v>
      </c>
      <c r="G261" s="1" t="str">
        <f t="shared" si="23"/>
        <v>抽屉012球头铣刀</v>
      </c>
      <c r="H261" t="str">
        <f t="shared" si="25"/>
        <v>行号03</v>
      </c>
      <c r="I261" s="1" t="str">
        <f t="shared" si="26"/>
        <v>序号03</v>
      </c>
      <c r="J261" s="38"/>
      <c r="K261" s="41"/>
      <c r="L261" s="41"/>
      <c r="M261" s="41">
        <v>0</v>
      </c>
      <c r="N261" s="41">
        <v>0</v>
      </c>
    </row>
    <row r="262" spans="1:15">
      <c r="A262" s="8" t="s">
        <v>22</v>
      </c>
      <c r="B262" s="8" t="s">
        <v>398</v>
      </c>
      <c r="C262" s="10" t="s">
        <v>18</v>
      </c>
      <c r="D262" s="8" t="s">
        <v>20</v>
      </c>
      <c r="E262" s="7" t="str">
        <f t="shared" si="24"/>
        <v>050120304</v>
      </c>
      <c r="F262" s="1" t="s">
        <v>1223</v>
      </c>
      <c r="G262" s="1" t="str">
        <f t="shared" si="23"/>
        <v>抽屉012球头铣刀</v>
      </c>
      <c r="H262" t="str">
        <f t="shared" si="25"/>
        <v>行号03</v>
      </c>
      <c r="I262" s="1" t="str">
        <f t="shared" si="26"/>
        <v>序号04</v>
      </c>
      <c r="J262" s="38"/>
      <c r="K262" s="41"/>
      <c r="L262" s="41"/>
      <c r="M262" s="41">
        <v>0</v>
      </c>
      <c r="N262" s="41">
        <v>0</v>
      </c>
    </row>
    <row r="263" spans="1:15">
      <c r="A263" s="8" t="s">
        <v>22</v>
      </c>
      <c r="B263" s="8" t="s">
        <v>398</v>
      </c>
      <c r="C263" s="10" t="s">
        <v>18</v>
      </c>
      <c r="D263" s="8" t="s">
        <v>22</v>
      </c>
      <c r="E263" s="7" t="str">
        <f t="shared" si="24"/>
        <v>050120305</v>
      </c>
      <c r="F263" s="1" t="s">
        <v>1223</v>
      </c>
      <c r="G263" s="1" t="str">
        <f t="shared" si="23"/>
        <v>抽屉012球头铣刀</v>
      </c>
      <c r="H263" t="str">
        <f t="shared" si="25"/>
        <v>行号03</v>
      </c>
      <c r="I263" s="1" t="str">
        <f t="shared" si="26"/>
        <v>序号05</v>
      </c>
      <c r="J263" s="38"/>
      <c r="K263" s="41"/>
      <c r="L263" s="41"/>
      <c r="M263" s="41">
        <v>0</v>
      </c>
      <c r="N263" s="41">
        <v>0</v>
      </c>
    </row>
    <row r="264" spans="1:15">
      <c r="A264" s="8" t="s">
        <v>22</v>
      </c>
      <c r="B264" s="8" t="s">
        <v>398</v>
      </c>
      <c r="C264" s="10" t="s">
        <v>18</v>
      </c>
      <c r="D264" s="8" t="s">
        <v>24</v>
      </c>
      <c r="E264" s="7" t="str">
        <f t="shared" si="24"/>
        <v>050120306</v>
      </c>
      <c r="F264" s="1" t="s">
        <v>1223</v>
      </c>
      <c r="G264" s="1" t="str">
        <f t="shared" si="23"/>
        <v>抽屉012球头铣刀</v>
      </c>
      <c r="H264" t="str">
        <f t="shared" si="25"/>
        <v>行号03</v>
      </c>
      <c r="I264" s="1" t="str">
        <f t="shared" si="26"/>
        <v>序号06</v>
      </c>
      <c r="J264" s="38"/>
      <c r="K264" s="41"/>
      <c r="L264" s="41"/>
      <c r="M264" s="41">
        <v>0</v>
      </c>
      <c r="N264" s="41">
        <v>0</v>
      </c>
    </row>
    <row r="265" spans="1:15">
      <c r="A265" s="8" t="s">
        <v>22</v>
      </c>
      <c r="B265" s="8" t="s">
        <v>398</v>
      </c>
      <c r="C265" s="10" t="s">
        <v>18</v>
      </c>
      <c r="D265" s="8" t="s">
        <v>26</v>
      </c>
      <c r="E265" s="7" t="str">
        <f t="shared" si="24"/>
        <v>050120307</v>
      </c>
      <c r="F265" s="1" t="s">
        <v>1223</v>
      </c>
      <c r="G265" s="1" t="str">
        <f t="shared" si="23"/>
        <v>抽屉012球头铣刀</v>
      </c>
      <c r="H265" t="str">
        <f t="shared" si="25"/>
        <v>行号03</v>
      </c>
      <c r="I265" s="1" t="str">
        <f t="shared" si="26"/>
        <v>序号07</v>
      </c>
      <c r="J265" s="38"/>
      <c r="K265" s="41"/>
      <c r="L265" s="41"/>
      <c r="M265" s="41">
        <v>0</v>
      </c>
      <c r="N265" s="41">
        <v>0</v>
      </c>
    </row>
    <row r="266" spans="1:15">
      <c r="A266" s="8" t="s">
        <v>22</v>
      </c>
      <c r="B266" s="8" t="s">
        <v>398</v>
      </c>
      <c r="C266" s="10" t="s">
        <v>18</v>
      </c>
      <c r="D266" s="8" t="s">
        <v>28</v>
      </c>
      <c r="E266" s="7" t="str">
        <f t="shared" si="24"/>
        <v>050120308</v>
      </c>
      <c r="F266" s="1" t="s">
        <v>1223</v>
      </c>
      <c r="G266" s="1" t="str">
        <f t="shared" si="23"/>
        <v>抽屉012球头铣刀</v>
      </c>
      <c r="H266" t="str">
        <f t="shared" si="25"/>
        <v>行号03</v>
      </c>
      <c r="I266" s="1" t="str">
        <f t="shared" si="26"/>
        <v>序号08</v>
      </c>
      <c r="J266" s="38"/>
      <c r="K266" s="41"/>
      <c r="L266" s="41"/>
      <c r="M266" s="41">
        <v>0</v>
      </c>
      <c r="N266" s="41">
        <v>0</v>
      </c>
    </row>
    <row r="267" spans="1:15">
      <c r="A267" s="8" t="s">
        <v>22</v>
      </c>
      <c r="B267" s="8" t="s">
        <v>398</v>
      </c>
      <c r="C267" s="8" t="s">
        <v>20</v>
      </c>
      <c r="D267" s="11" t="s">
        <v>14</v>
      </c>
      <c r="E267" s="7" t="str">
        <f t="shared" si="24"/>
        <v>050120401</v>
      </c>
      <c r="F267" s="1" t="s">
        <v>1223</v>
      </c>
      <c r="G267" s="1" t="str">
        <f t="shared" si="23"/>
        <v>抽屉012球头铣刀</v>
      </c>
      <c r="H267" t="str">
        <f t="shared" si="25"/>
        <v>行号04</v>
      </c>
      <c r="I267" s="1" t="str">
        <f t="shared" si="26"/>
        <v>序号01</v>
      </c>
      <c r="J267" s="38"/>
      <c r="K267" s="41"/>
      <c r="L267" s="41"/>
      <c r="M267" s="41">
        <v>0</v>
      </c>
      <c r="N267" s="41">
        <v>0</v>
      </c>
    </row>
    <row r="268" spans="1:15">
      <c r="A268" s="8" t="s">
        <v>22</v>
      </c>
      <c r="B268" s="8" t="s">
        <v>398</v>
      </c>
      <c r="C268" s="8" t="s">
        <v>20</v>
      </c>
      <c r="D268" s="11" t="s">
        <v>16</v>
      </c>
      <c r="E268" s="7" t="str">
        <f t="shared" si="24"/>
        <v>050120402</v>
      </c>
      <c r="F268" s="1" t="s">
        <v>1223</v>
      </c>
      <c r="G268" s="1" t="str">
        <f t="shared" si="23"/>
        <v>抽屉012球头铣刀</v>
      </c>
      <c r="H268" t="str">
        <f t="shared" si="25"/>
        <v>行号04</v>
      </c>
      <c r="I268" s="1" t="str">
        <f t="shared" si="26"/>
        <v>序号02</v>
      </c>
      <c r="J268" s="38"/>
      <c r="K268" s="41"/>
      <c r="L268" s="41"/>
      <c r="M268" s="41">
        <v>0</v>
      </c>
      <c r="N268" s="41">
        <v>0</v>
      </c>
    </row>
    <row r="269" spans="1:15">
      <c r="A269" s="8" t="s">
        <v>22</v>
      </c>
      <c r="B269" s="8" t="s">
        <v>398</v>
      </c>
      <c r="C269" s="8" t="s">
        <v>20</v>
      </c>
      <c r="D269" s="11" t="s">
        <v>18</v>
      </c>
      <c r="E269" s="7" t="str">
        <f t="shared" si="24"/>
        <v>050120403</v>
      </c>
      <c r="F269" s="1" t="s">
        <v>1223</v>
      </c>
      <c r="G269" s="1" t="str">
        <f t="shared" si="23"/>
        <v>抽屉012球头铣刀</v>
      </c>
      <c r="H269" t="str">
        <f t="shared" si="25"/>
        <v>行号04</v>
      </c>
      <c r="I269" s="1" t="str">
        <f t="shared" si="26"/>
        <v>序号03</v>
      </c>
      <c r="J269" s="38"/>
      <c r="K269" s="41"/>
      <c r="L269" s="41"/>
      <c r="M269" s="41">
        <v>0</v>
      </c>
      <c r="N269" s="41">
        <v>0</v>
      </c>
    </row>
    <row r="270" spans="1:15">
      <c r="A270" s="8" t="s">
        <v>22</v>
      </c>
      <c r="B270" s="8" t="s">
        <v>398</v>
      </c>
      <c r="C270" s="8" t="s">
        <v>20</v>
      </c>
      <c r="D270" s="11" t="s">
        <v>20</v>
      </c>
      <c r="E270" s="7" t="str">
        <f t="shared" si="24"/>
        <v>050120404</v>
      </c>
      <c r="F270" s="1" t="s">
        <v>1223</v>
      </c>
      <c r="G270" s="1" t="str">
        <f t="shared" si="23"/>
        <v>抽屉012球头铣刀</v>
      </c>
      <c r="H270" t="str">
        <f t="shared" si="25"/>
        <v>行号04</v>
      </c>
      <c r="I270" s="1" t="str">
        <f t="shared" si="26"/>
        <v>序号04</v>
      </c>
      <c r="J270" s="38"/>
      <c r="K270" s="41"/>
      <c r="L270" s="41"/>
      <c r="M270" s="41">
        <v>0</v>
      </c>
      <c r="N270" s="41">
        <v>0</v>
      </c>
    </row>
    <row r="271" spans="1:15">
      <c r="A271" s="8" t="s">
        <v>22</v>
      </c>
      <c r="B271" s="8" t="s">
        <v>398</v>
      </c>
      <c r="C271" s="8" t="s">
        <v>20</v>
      </c>
      <c r="D271" s="11" t="s">
        <v>22</v>
      </c>
      <c r="E271" s="7" t="str">
        <f t="shared" si="24"/>
        <v>050120405</v>
      </c>
      <c r="F271" s="1" t="s">
        <v>1223</v>
      </c>
      <c r="G271" s="1" t="str">
        <f t="shared" si="23"/>
        <v>抽屉012球头铣刀</v>
      </c>
      <c r="H271" t="str">
        <f t="shared" si="25"/>
        <v>行号04</v>
      </c>
      <c r="I271" s="1" t="str">
        <f t="shared" si="26"/>
        <v>序号05</v>
      </c>
      <c r="J271" s="38"/>
      <c r="K271" s="41"/>
      <c r="L271" s="41"/>
      <c r="M271" s="41">
        <v>0</v>
      </c>
      <c r="N271" s="41">
        <v>0</v>
      </c>
    </row>
    <row r="272" spans="1:15">
      <c r="A272" s="8" t="s">
        <v>22</v>
      </c>
      <c r="B272" s="8" t="s">
        <v>398</v>
      </c>
      <c r="C272" s="8" t="s">
        <v>20</v>
      </c>
      <c r="D272" s="11" t="s">
        <v>24</v>
      </c>
      <c r="E272" s="7" t="str">
        <f t="shared" si="24"/>
        <v>050120406</v>
      </c>
      <c r="F272" s="1" t="s">
        <v>1223</v>
      </c>
      <c r="G272" s="1" t="str">
        <f t="shared" si="23"/>
        <v>抽屉012球头铣刀</v>
      </c>
      <c r="H272" t="str">
        <f t="shared" si="25"/>
        <v>行号04</v>
      </c>
      <c r="I272" s="1" t="str">
        <f t="shared" si="26"/>
        <v>序号06</v>
      </c>
      <c r="J272" s="38"/>
      <c r="K272" s="41"/>
      <c r="L272" s="41"/>
      <c r="M272" s="41">
        <v>0</v>
      </c>
      <c r="N272" s="41">
        <v>0</v>
      </c>
    </row>
    <row r="273" spans="1:15">
      <c r="A273" s="8" t="s">
        <v>22</v>
      </c>
      <c r="B273" s="8" t="s">
        <v>398</v>
      </c>
      <c r="C273" s="8" t="s">
        <v>20</v>
      </c>
      <c r="D273" s="11" t="s">
        <v>26</v>
      </c>
      <c r="E273" s="7" t="str">
        <f t="shared" si="24"/>
        <v>050120407</v>
      </c>
      <c r="F273" s="1" t="s">
        <v>1223</v>
      </c>
      <c r="G273" s="1" t="str">
        <f t="shared" si="23"/>
        <v>抽屉012球头铣刀</v>
      </c>
      <c r="H273" t="str">
        <f t="shared" si="25"/>
        <v>行号04</v>
      </c>
      <c r="I273" s="1" t="str">
        <f t="shared" si="26"/>
        <v>序号07</v>
      </c>
      <c r="J273" s="38"/>
      <c r="K273" s="41"/>
      <c r="L273" s="41"/>
      <c r="M273" s="41">
        <v>0</v>
      </c>
      <c r="N273" s="41">
        <v>0</v>
      </c>
    </row>
    <row r="274" spans="1:15">
      <c r="A274" s="8" t="s">
        <v>22</v>
      </c>
      <c r="B274" s="8" t="s">
        <v>398</v>
      </c>
      <c r="C274" s="8" t="s">
        <v>20</v>
      </c>
      <c r="D274" s="11" t="s">
        <v>28</v>
      </c>
      <c r="E274" s="7" t="str">
        <f t="shared" si="24"/>
        <v>050120408</v>
      </c>
      <c r="F274" s="1" t="s">
        <v>1223</v>
      </c>
      <c r="G274" s="1" t="str">
        <f t="shared" si="23"/>
        <v>抽屉012球头铣刀</v>
      </c>
      <c r="H274" t="str">
        <f t="shared" si="25"/>
        <v>行号04</v>
      </c>
      <c r="I274" s="1" t="str">
        <f t="shared" si="26"/>
        <v>序号08</v>
      </c>
      <c r="J274" s="38"/>
      <c r="K274" s="41"/>
      <c r="L274" s="41"/>
      <c r="M274" s="41">
        <v>0</v>
      </c>
      <c r="N274" s="41">
        <v>0</v>
      </c>
    </row>
    <row r="275" spans="1:15">
      <c r="A275" s="8" t="s">
        <v>22</v>
      </c>
      <c r="B275" s="8" t="s">
        <v>415</v>
      </c>
      <c r="C275" s="10" t="s">
        <v>14</v>
      </c>
      <c r="D275" s="8" t="s">
        <v>16</v>
      </c>
      <c r="E275" s="7" t="str">
        <f t="shared" si="24"/>
        <v>050130102</v>
      </c>
      <c r="F275" s="1" t="s">
        <v>1223</v>
      </c>
      <c r="G275" s="1" t="str">
        <f>"抽屉"&amp;B275&amp;"锯片刀"</f>
        <v>抽屉013锯片刀</v>
      </c>
      <c r="H275" t="str">
        <f t="shared" si="25"/>
        <v>行号01</v>
      </c>
      <c r="I275" s="1" t="str">
        <f t="shared" si="26"/>
        <v>序号02</v>
      </c>
      <c r="J275" s="36" t="s">
        <v>1106</v>
      </c>
      <c r="K275" s="39">
        <v>0</v>
      </c>
      <c r="L275" s="39">
        <v>10</v>
      </c>
      <c r="M275" s="39"/>
      <c r="N275" s="39"/>
      <c r="O275" s="17" t="s">
        <v>1262</v>
      </c>
    </row>
    <row r="276" spans="1:15">
      <c r="A276" s="8" t="s">
        <v>22</v>
      </c>
      <c r="B276" s="8" t="s">
        <v>415</v>
      </c>
      <c r="C276" s="10" t="s">
        <v>14</v>
      </c>
      <c r="D276" s="8" t="s">
        <v>24</v>
      </c>
      <c r="E276" s="7" t="str">
        <f t="shared" si="24"/>
        <v>050130106</v>
      </c>
      <c r="F276" s="1" t="s">
        <v>1223</v>
      </c>
      <c r="G276" s="1" t="str">
        <f t="shared" ref="G276:G301" si="27">"抽屉"&amp;B276&amp;"锯片刀"</f>
        <v>抽屉013锯片刀</v>
      </c>
      <c r="H276" t="str">
        <f t="shared" si="25"/>
        <v>行号01</v>
      </c>
      <c r="I276" s="1" t="str">
        <f t="shared" si="26"/>
        <v>序号06</v>
      </c>
      <c r="J276" s="36" t="s">
        <v>1110</v>
      </c>
      <c r="K276" s="39">
        <v>0</v>
      </c>
      <c r="L276" s="39">
        <v>10</v>
      </c>
      <c r="M276" s="39"/>
      <c r="N276" s="39"/>
      <c r="O276" s="17" t="s">
        <v>1262</v>
      </c>
    </row>
    <row r="277" spans="1:15">
      <c r="A277" s="8" t="s">
        <v>22</v>
      </c>
      <c r="B277" s="8" t="s">
        <v>415</v>
      </c>
      <c r="C277" s="10" t="s">
        <v>14</v>
      </c>
      <c r="D277" s="8" t="s">
        <v>26</v>
      </c>
      <c r="E277" s="7" t="str">
        <f t="shared" si="24"/>
        <v>050130107</v>
      </c>
      <c r="F277" s="1" t="s">
        <v>1223</v>
      </c>
      <c r="G277" s="1" t="str">
        <f t="shared" si="27"/>
        <v>抽屉013锯片刀</v>
      </c>
      <c r="H277" t="str">
        <f t="shared" si="25"/>
        <v>行号01</v>
      </c>
      <c r="I277" s="1" t="str">
        <f t="shared" si="26"/>
        <v>序号07</v>
      </c>
      <c r="J277" s="38"/>
      <c r="K277" s="41"/>
      <c r="L277" s="41"/>
      <c r="M277" s="41">
        <v>0</v>
      </c>
      <c r="N277" s="41">
        <v>0</v>
      </c>
    </row>
    <row r="278" spans="1:15">
      <c r="A278" s="8" t="s">
        <v>22</v>
      </c>
      <c r="B278" s="8" t="s">
        <v>415</v>
      </c>
      <c r="C278" s="10" t="s">
        <v>14</v>
      </c>
      <c r="D278" s="8" t="s">
        <v>28</v>
      </c>
      <c r="E278" s="7" t="str">
        <f t="shared" si="24"/>
        <v>050130108</v>
      </c>
      <c r="F278" s="1" t="s">
        <v>1223</v>
      </c>
      <c r="G278" s="1" t="str">
        <f t="shared" si="27"/>
        <v>抽屉013锯片刀</v>
      </c>
      <c r="H278" t="str">
        <f t="shared" si="25"/>
        <v>行号01</v>
      </c>
      <c r="I278" s="1" t="str">
        <f t="shared" si="26"/>
        <v>序号08</v>
      </c>
      <c r="J278" s="38"/>
      <c r="K278" s="41"/>
      <c r="L278" s="41"/>
      <c r="M278" s="41">
        <v>0</v>
      </c>
      <c r="N278" s="41">
        <v>0</v>
      </c>
    </row>
    <row r="279" spans="1:15">
      <c r="A279" s="8" t="s">
        <v>22</v>
      </c>
      <c r="B279" s="8" t="s">
        <v>415</v>
      </c>
      <c r="C279" s="8" t="s">
        <v>16</v>
      </c>
      <c r="D279" s="11" t="s">
        <v>14</v>
      </c>
      <c r="E279" s="7" t="str">
        <f t="shared" si="24"/>
        <v>050130201</v>
      </c>
      <c r="F279" s="1" t="s">
        <v>1223</v>
      </c>
      <c r="G279" s="1" t="str">
        <f t="shared" si="27"/>
        <v>抽屉013锯片刀</v>
      </c>
      <c r="H279" t="str">
        <f t="shared" si="25"/>
        <v>行号02</v>
      </c>
      <c r="I279" s="1" t="str">
        <f t="shared" si="26"/>
        <v>序号01</v>
      </c>
      <c r="J279" s="36" t="s">
        <v>1111</v>
      </c>
      <c r="K279" s="39">
        <v>0</v>
      </c>
      <c r="L279" s="39">
        <v>10</v>
      </c>
      <c r="M279" s="39"/>
      <c r="N279" s="39"/>
      <c r="O279" s="17" t="s">
        <v>1262</v>
      </c>
    </row>
    <row r="280" spans="1:15">
      <c r="A280" s="8" t="s">
        <v>22</v>
      </c>
      <c r="B280" s="8" t="s">
        <v>415</v>
      </c>
      <c r="C280" s="8" t="s">
        <v>16</v>
      </c>
      <c r="D280" s="11" t="s">
        <v>16</v>
      </c>
      <c r="E280" s="7" t="str">
        <f t="shared" si="24"/>
        <v>050130202</v>
      </c>
      <c r="F280" s="1" t="s">
        <v>1223</v>
      </c>
      <c r="G280" s="1" t="str">
        <f t="shared" si="27"/>
        <v>抽屉013锯片刀</v>
      </c>
      <c r="H280" t="str">
        <f t="shared" si="25"/>
        <v>行号02</v>
      </c>
      <c r="I280" s="1" t="str">
        <f t="shared" si="26"/>
        <v>序号02</v>
      </c>
      <c r="J280" t="s">
        <v>1112</v>
      </c>
      <c r="K280" s="39">
        <v>0</v>
      </c>
      <c r="L280" s="39">
        <v>10</v>
      </c>
      <c r="M280" s="39"/>
      <c r="N280" s="39"/>
      <c r="O280" s="17" t="s">
        <v>1262</v>
      </c>
    </row>
    <row r="281" spans="1:15">
      <c r="A281" s="8" t="s">
        <v>22</v>
      </c>
      <c r="B281" s="8" t="s">
        <v>415</v>
      </c>
      <c r="C281" s="8" t="s">
        <v>16</v>
      </c>
      <c r="D281" s="11" t="s">
        <v>18</v>
      </c>
      <c r="E281" s="7" t="str">
        <f t="shared" si="24"/>
        <v>050130203</v>
      </c>
      <c r="F281" s="1" t="s">
        <v>1223</v>
      </c>
      <c r="G281" s="1" t="str">
        <f t="shared" si="27"/>
        <v>抽屉013锯片刀</v>
      </c>
      <c r="H281" t="str">
        <f t="shared" si="25"/>
        <v>行号02</v>
      </c>
      <c r="I281" s="1" t="str">
        <f t="shared" si="26"/>
        <v>序号03</v>
      </c>
      <c r="J281" t="s">
        <v>1113</v>
      </c>
      <c r="K281" s="39">
        <v>0</v>
      </c>
      <c r="L281" s="39">
        <v>10</v>
      </c>
      <c r="M281" s="39"/>
      <c r="N281" s="39"/>
      <c r="O281" s="17" t="s">
        <v>1262</v>
      </c>
    </row>
    <row r="282" spans="1:15">
      <c r="A282" s="8" t="s">
        <v>22</v>
      </c>
      <c r="B282" s="8" t="s">
        <v>415</v>
      </c>
      <c r="C282" s="8" t="s">
        <v>16</v>
      </c>
      <c r="D282" s="11" t="s">
        <v>20</v>
      </c>
      <c r="E282" s="7" t="str">
        <f t="shared" si="24"/>
        <v>050130204</v>
      </c>
      <c r="F282" s="1" t="s">
        <v>1223</v>
      </c>
      <c r="G282" s="1" t="str">
        <f t="shared" si="27"/>
        <v>抽屉013锯片刀</v>
      </c>
      <c r="H282" t="str">
        <f t="shared" si="25"/>
        <v>行号02</v>
      </c>
      <c r="I282" s="1" t="str">
        <f t="shared" si="26"/>
        <v>序号04</v>
      </c>
      <c r="J282" s="36" t="s">
        <v>1114</v>
      </c>
      <c r="K282" s="39">
        <v>0</v>
      </c>
      <c r="L282" s="39">
        <v>10</v>
      </c>
      <c r="M282" s="39"/>
      <c r="N282" s="39"/>
      <c r="O282" s="17" t="s">
        <v>1262</v>
      </c>
    </row>
    <row r="283" spans="1:15">
      <c r="A283" s="8" t="s">
        <v>22</v>
      </c>
      <c r="B283" s="8" t="s">
        <v>415</v>
      </c>
      <c r="C283" s="8" t="s">
        <v>16</v>
      </c>
      <c r="D283" s="11" t="s">
        <v>22</v>
      </c>
      <c r="E283" s="7" t="str">
        <f t="shared" si="24"/>
        <v>050130205</v>
      </c>
      <c r="F283" s="1" t="s">
        <v>1223</v>
      </c>
      <c r="G283" s="1" t="str">
        <f t="shared" si="27"/>
        <v>抽屉013锯片刀</v>
      </c>
      <c r="H283" t="str">
        <f t="shared" si="25"/>
        <v>行号02</v>
      </c>
      <c r="I283" s="1" t="str">
        <f t="shared" si="26"/>
        <v>序号05</v>
      </c>
      <c r="J283" s="38"/>
      <c r="K283" s="41"/>
      <c r="L283" s="41"/>
      <c r="M283" s="41">
        <v>0</v>
      </c>
      <c r="N283" s="41">
        <v>0</v>
      </c>
    </row>
    <row r="284" spans="1:15">
      <c r="A284" s="8" t="s">
        <v>22</v>
      </c>
      <c r="B284" s="8" t="s">
        <v>415</v>
      </c>
      <c r="C284" s="8" t="s">
        <v>16</v>
      </c>
      <c r="D284" s="11" t="s">
        <v>24</v>
      </c>
      <c r="E284" s="7" t="str">
        <f t="shared" si="24"/>
        <v>050130206</v>
      </c>
      <c r="F284" s="1" t="s">
        <v>1223</v>
      </c>
      <c r="G284" s="1" t="str">
        <f t="shared" si="27"/>
        <v>抽屉013锯片刀</v>
      </c>
      <c r="H284" t="str">
        <f t="shared" si="25"/>
        <v>行号02</v>
      </c>
      <c r="I284" s="1" t="str">
        <f t="shared" si="26"/>
        <v>序号06</v>
      </c>
      <c r="J284" s="38"/>
      <c r="K284" s="41"/>
      <c r="L284" s="41"/>
      <c r="M284" s="41">
        <v>0</v>
      </c>
      <c r="N284" s="41">
        <v>0</v>
      </c>
    </row>
    <row r="285" spans="1:15">
      <c r="A285" s="8" t="s">
        <v>22</v>
      </c>
      <c r="B285" s="8" t="s">
        <v>415</v>
      </c>
      <c r="C285" s="8" t="s">
        <v>16</v>
      </c>
      <c r="D285" s="11" t="s">
        <v>26</v>
      </c>
      <c r="E285" s="7" t="str">
        <f t="shared" si="24"/>
        <v>050130207</v>
      </c>
      <c r="F285" s="1" t="s">
        <v>1223</v>
      </c>
      <c r="G285" s="1" t="str">
        <f t="shared" si="27"/>
        <v>抽屉013锯片刀</v>
      </c>
      <c r="H285" t="str">
        <f t="shared" si="25"/>
        <v>行号02</v>
      </c>
      <c r="I285" s="1" t="str">
        <f t="shared" si="26"/>
        <v>序号07</v>
      </c>
      <c r="J285" s="24"/>
      <c r="K285" s="41"/>
      <c r="L285" s="41"/>
      <c r="M285" s="41">
        <v>0</v>
      </c>
      <c r="N285" s="41">
        <v>0</v>
      </c>
    </row>
    <row r="286" spans="1:15">
      <c r="A286" s="8" t="s">
        <v>22</v>
      </c>
      <c r="B286" s="8" t="s">
        <v>415</v>
      </c>
      <c r="C286" s="8" t="s">
        <v>16</v>
      </c>
      <c r="D286" s="11" t="s">
        <v>28</v>
      </c>
      <c r="E286" s="7" t="str">
        <f t="shared" si="24"/>
        <v>050130208</v>
      </c>
      <c r="F286" s="1" t="s">
        <v>1223</v>
      </c>
      <c r="G286" s="1" t="str">
        <f t="shared" si="27"/>
        <v>抽屉013锯片刀</v>
      </c>
      <c r="H286" t="str">
        <f t="shared" si="25"/>
        <v>行号02</v>
      </c>
      <c r="I286" s="1" t="str">
        <f t="shared" si="26"/>
        <v>序号08</v>
      </c>
      <c r="J286" s="24"/>
      <c r="K286" s="41"/>
      <c r="L286" s="41"/>
      <c r="M286" s="41">
        <v>0</v>
      </c>
      <c r="N286" s="41">
        <v>0</v>
      </c>
    </row>
    <row r="287" spans="1:15">
      <c r="A287" s="8" t="s">
        <v>22</v>
      </c>
      <c r="B287" s="8" t="s">
        <v>415</v>
      </c>
      <c r="C287" s="10" t="s">
        <v>18</v>
      </c>
      <c r="D287" s="8" t="s">
        <v>14</v>
      </c>
      <c r="E287" s="7" t="str">
        <f t="shared" si="24"/>
        <v>050130301</v>
      </c>
      <c r="F287" s="1" t="s">
        <v>1223</v>
      </c>
      <c r="G287" s="1" t="str">
        <f t="shared" si="27"/>
        <v>抽屉013锯片刀</v>
      </c>
      <c r="H287" t="str">
        <f t="shared" si="25"/>
        <v>行号03</v>
      </c>
      <c r="I287" s="1" t="str">
        <f t="shared" si="26"/>
        <v>序号01</v>
      </c>
      <c r="J287" t="s">
        <v>1115</v>
      </c>
      <c r="K287" s="39">
        <v>0</v>
      </c>
      <c r="L287" s="39">
        <v>10</v>
      </c>
      <c r="M287" s="39"/>
      <c r="N287" s="39"/>
      <c r="O287" s="17" t="s">
        <v>1262</v>
      </c>
    </row>
    <row r="288" spans="1:15">
      <c r="A288" s="8" t="s">
        <v>22</v>
      </c>
      <c r="B288" s="8" t="s">
        <v>415</v>
      </c>
      <c r="C288" s="10" t="s">
        <v>18</v>
      </c>
      <c r="D288" s="8" t="s">
        <v>16</v>
      </c>
      <c r="E288" s="7" t="str">
        <f t="shared" si="24"/>
        <v>050130302</v>
      </c>
      <c r="F288" s="1" t="s">
        <v>1223</v>
      </c>
      <c r="G288" s="1" t="str">
        <f t="shared" si="27"/>
        <v>抽屉013锯片刀</v>
      </c>
      <c r="H288" t="str">
        <f t="shared" si="25"/>
        <v>行号03</v>
      </c>
      <c r="I288" s="1" t="str">
        <f t="shared" si="26"/>
        <v>序号02</v>
      </c>
      <c r="J288" t="s">
        <v>1116</v>
      </c>
      <c r="K288" s="39">
        <v>0</v>
      </c>
      <c r="L288" s="39">
        <v>10</v>
      </c>
      <c r="M288" s="39"/>
      <c r="N288" s="39"/>
      <c r="O288" s="17" t="s">
        <v>1262</v>
      </c>
    </row>
    <row r="289" spans="1:15">
      <c r="A289" s="8" t="s">
        <v>22</v>
      </c>
      <c r="B289" s="8" t="s">
        <v>415</v>
      </c>
      <c r="C289" s="10" t="s">
        <v>18</v>
      </c>
      <c r="D289" s="8" t="s">
        <v>18</v>
      </c>
      <c r="E289" s="7" t="str">
        <f t="shared" si="24"/>
        <v>050130303</v>
      </c>
      <c r="F289" s="1" t="s">
        <v>1223</v>
      </c>
      <c r="G289" s="1" t="str">
        <f t="shared" si="27"/>
        <v>抽屉013锯片刀</v>
      </c>
      <c r="H289" t="str">
        <f t="shared" si="25"/>
        <v>行号03</v>
      </c>
      <c r="I289" s="1" t="str">
        <f t="shared" si="26"/>
        <v>序号03</v>
      </c>
      <c r="J289" t="s">
        <v>1117</v>
      </c>
      <c r="K289" s="39">
        <v>0</v>
      </c>
      <c r="L289" s="39">
        <v>10</v>
      </c>
      <c r="M289" s="39"/>
      <c r="N289" s="39"/>
      <c r="O289" s="17" t="s">
        <v>1262</v>
      </c>
    </row>
    <row r="290" spans="1:15">
      <c r="A290" s="8" t="s">
        <v>22</v>
      </c>
      <c r="B290" s="8" t="s">
        <v>415</v>
      </c>
      <c r="C290" s="10" t="s">
        <v>18</v>
      </c>
      <c r="D290" s="8" t="s">
        <v>20</v>
      </c>
      <c r="E290" s="7" t="str">
        <f t="shared" si="24"/>
        <v>050130304</v>
      </c>
      <c r="F290" s="1" t="s">
        <v>1223</v>
      </c>
      <c r="G290" s="1" t="str">
        <f t="shared" si="27"/>
        <v>抽屉013锯片刀</v>
      </c>
      <c r="H290" t="str">
        <f t="shared" si="25"/>
        <v>行号03</v>
      </c>
      <c r="I290" s="1" t="str">
        <f t="shared" si="26"/>
        <v>序号04</v>
      </c>
      <c r="J290" s="36" t="s">
        <v>1118</v>
      </c>
      <c r="K290" s="39">
        <v>0</v>
      </c>
      <c r="L290" s="39">
        <v>10</v>
      </c>
      <c r="M290" s="39"/>
      <c r="N290" s="39"/>
      <c r="O290" s="17" t="s">
        <v>1262</v>
      </c>
    </row>
    <row r="291" spans="1:15">
      <c r="A291" s="8" t="s">
        <v>22</v>
      </c>
      <c r="B291" s="8" t="s">
        <v>415</v>
      </c>
      <c r="C291" s="10" t="s">
        <v>18</v>
      </c>
      <c r="D291" s="8" t="s">
        <v>22</v>
      </c>
      <c r="E291" s="7" t="str">
        <f t="shared" si="24"/>
        <v>050130305</v>
      </c>
      <c r="F291" s="1" t="s">
        <v>1223</v>
      </c>
      <c r="G291" s="1" t="str">
        <f t="shared" si="27"/>
        <v>抽屉013锯片刀</v>
      </c>
      <c r="H291" t="str">
        <f t="shared" si="25"/>
        <v>行号03</v>
      </c>
      <c r="I291" s="1" t="str">
        <f t="shared" si="26"/>
        <v>序号05</v>
      </c>
      <c r="J291" s="38"/>
      <c r="K291" s="41"/>
      <c r="L291" s="41"/>
      <c r="M291" s="41">
        <v>0</v>
      </c>
      <c r="N291" s="41">
        <v>0</v>
      </c>
    </row>
    <row r="292" spans="1:15">
      <c r="A292" s="8" t="s">
        <v>22</v>
      </c>
      <c r="B292" s="8" t="s">
        <v>415</v>
      </c>
      <c r="C292" s="10" t="s">
        <v>18</v>
      </c>
      <c r="D292" s="8" t="s">
        <v>24</v>
      </c>
      <c r="E292" s="7" t="str">
        <f t="shared" si="24"/>
        <v>050130306</v>
      </c>
      <c r="F292" s="1" t="s">
        <v>1223</v>
      </c>
      <c r="G292" s="1" t="str">
        <f t="shared" si="27"/>
        <v>抽屉013锯片刀</v>
      </c>
      <c r="H292" t="str">
        <f t="shared" si="25"/>
        <v>行号03</v>
      </c>
      <c r="I292" s="1" t="str">
        <f t="shared" si="26"/>
        <v>序号06</v>
      </c>
      <c r="J292" s="38"/>
      <c r="K292" s="41"/>
      <c r="L292" s="41"/>
      <c r="M292" s="41">
        <v>0</v>
      </c>
      <c r="N292" s="41">
        <v>0</v>
      </c>
    </row>
    <row r="293" spans="1:15">
      <c r="A293" s="8" t="s">
        <v>22</v>
      </c>
      <c r="B293" s="8" t="s">
        <v>415</v>
      </c>
      <c r="C293" s="10" t="s">
        <v>18</v>
      </c>
      <c r="D293" s="8" t="s">
        <v>26</v>
      </c>
      <c r="E293" s="7" t="str">
        <f t="shared" si="24"/>
        <v>050130307</v>
      </c>
      <c r="F293" s="1" t="s">
        <v>1223</v>
      </c>
      <c r="G293" s="1" t="str">
        <f t="shared" si="27"/>
        <v>抽屉013锯片刀</v>
      </c>
      <c r="H293" t="str">
        <f t="shared" si="25"/>
        <v>行号03</v>
      </c>
      <c r="I293" s="1" t="str">
        <f t="shared" si="26"/>
        <v>序号07</v>
      </c>
      <c r="J293" s="38"/>
      <c r="K293" s="41"/>
      <c r="L293" s="41"/>
      <c r="M293" s="41">
        <v>0</v>
      </c>
      <c r="N293" s="41">
        <v>0</v>
      </c>
    </row>
    <row r="294" spans="1:15">
      <c r="A294" s="8" t="s">
        <v>22</v>
      </c>
      <c r="B294" s="8" t="s">
        <v>415</v>
      </c>
      <c r="C294" s="10" t="s">
        <v>18</v>
      </c>
      <c r="D294" s="8" t="s">
        <v>28</v>
      </c>
      <c r="E294" s="7" t="str">
        <f t="shared" si="24"/>
        <v>050130308</v>
      </c>
      <c r="F294" s="1" t="s">
        <v>1223</v>
      </c>
      <c r="G294" s="1" t="str">
        <f t="shared" si="27"/>
        <v>抽屉013锯片刀</v>
      </c>
      <c r="H294" t="str">
        <f t="shared" si="25"/>
        <v>行号03</v>
      </c>
      <c r="I294" s="1" t="str">
        <f t="shared" si="26"/>
        <v>序号08</v>
      </c>
      <c r="J294" s="38"/>
      <c r="K294" s="41"/>
      <c r="L294" s="41"/>
      <c r="M294" s="41">
        <v>0</v>
      </c>
      <c r="N294" s="41">
        <v>0</v>
      </c>
    </row>
    <row r="295" spans="1:15">
      <c r="A295" s="8" t="s">
        <v>22</v>
      </c>
      <c r="B295" s="8" t="s">
        <v>415</v>
      </c>
      <c r="C295" s="8" t="s">
        <v>20</v>
      </c>
      <c r="D295" s="11" t="s">
        <v>14</v>
      </c>
      <c r="E295" s="7" t="str">
        <f t="shared" si="24"/>
        <v>050130401</v>
      </c>
      <c r="F295" s="1" t="s">
        <v>1223</v>
      </c>
      <c r="G295" s="1" t="str">
        <f t="shared" si="27"/>
        <v>抽屉013锯片刀</v>
      </c>
      <c r="H295" t="str">
        <f t="shared" si="25"/>
        <v>行号04</v>
      </c>
      <c r="I295" s="1" t="str">
        <f t="shared" si="26"/>
        <v>序号01</v>
      </c>
      <c r="J295" s="36" t="s">
        <v>1119</v>
      </c>
      <c r="K295" s="39">
        <v>0</v>
      </c>
      <c r="L295" s="39">
        <v>5</v>
      </c>
      <c r="M295" s="39"/>
      <c r="N295" s="39"/>
      <c r="O295" s="17" t="s">
        <v>1262</v>
      </c>
    </row>
    <row r="296" spans="1:15">
      <c r="A296" s="8" t="s">
        <v>22</v>
      </c>
      <c r="B296" s="8" t="s">
        <v>415</v>
      </c>
      <c r="C296" s="8" t="s">
        <v>20</v>
      </c>
      <c r="D296" s="11" t="s">
        <v>16</v>
      </c>
      <c r="E296" s="7" t="str">
        <f t="shared" si="24"/>
        <v>050130402</v>
      </c>
      <c r="F296" s="1" t="s">
        <v>1223</v>
      </c>
      <c r="G296" s="1" t="str">
        <f t="shared" si="27"/>
        <v>抽屉013锯片刀</v>
      </c>
      <c r="H296" t="str">
        <f t="shared" si="25"/>
        <v>行号04</v>
      </c>
      <c r="I296" s="1" t="str">
        <f t="shared" si="26"/>
        <v>序号02</v>
      </c>
      <c r="J296" s="36" t="s">
        <v>1120</v>
      </c>
      <c r="K296" s="39">
        <v>0</v>
      </c>
      <c r="L296" s="39">
        <v>5</v>
      </c>
      <c r="M296" s="39"/>
      <c r="N296" s="39"/>
      <c r="O296" s="17" t="s">
        <v>1262</v>
      </c>
    </row>
    <row r="297" spans="1:15">
      <c r="A297" s="8" t="s">
        <v>22</v>
      </c>
      <c r="B297" s="8" t="s">
        <v>415</v>
      </c>
      <c r="C297" s="8" t="s">
        <v>20</v>
      </c>
      <c r="D297" s="11" t="s">
        <v>20</v>
      </c>
      <c r="E297" s="7" t="str">
        <f t="shared" si="24"/>
        <v>050130404</v>
      </c>
      <c r="F297" s="1" t="s">
        <v>1223</v>
      </c>
      <c r="G297" s="1" t="str">
        <f t="shared" si="27"/>
        <v>抽屉013锯片刀</v>
      </c>
      <c r="H297" t="str">
        <f t="shared" si="25"/>
        <v>行号04</v>
      </c>
      <c r="I297" s="1" t="str">
        <f t="shared" si="26"/>
        <v>序号04</v>
      </c>
      <c r="J297" s="36" t="s">
        <v>1122</v>
      </c>
      <c r="K297" s="39">
        <v>0</v>
      </c>
      <c r="L297" s="39">
        <v>10</v>
      </c>
      <c r="M297" s="39"/>
      <c r="N297" s="39"/>
      <c r="O297" s="17" t="s">
        <v>1262</v>
      </c>
    </row>
    <row r="298" spans="1:15">
      <c r="A298" s="8" t="s">
        <v>22</v>
      </c>
      <c r="B298" s="8" t="s">
        <v>415</v>
      </c>
      <c r="C298" s="8" t="s">
        <v>20</v>
      </c>
      <c r="D298" s="11" t="s">
        <v>22</v>
      </c>
      <c r="E298" s="7" t="str">
        <f t="shared" si="24"/>
        <v>050130405</v>
      </c>
      <c r="F298" s="1" t="s">
        <v>1223</v>
      </c>
      <c r="G298" s="1" t="str">
        <f t="shared" si="27"/>
        <v>抽屉013锯片刀</v>
      </c>
      <c r="H298" t="str">
        <f t="shared" si="25"/>
        <v>行号04</v>
      </c>
      <c r="I298" s="1" t="str">
        <f t="shared" si="26"/>
        <v>序号05</v>
      </c>
      <c r="J298" s="38"/>
      <c r="K298" s="41"/>
      <c r="L298" s="41"/>
      <c r="M298" s="41">
        <v>0</v>
      </c>
      <c r="N298" s="41">
        <v>0</v>
      </c>
    </row>
    <row r="299" spans="1:15">
      <c r="A299" s="8" t="s">
        <v>22</v>
      </c>
      <c r="B299" s="8" t="s">
        <v>415</v>
      </c>
      <c r="C299" s="8" t="s">
        <v>20</v>
      </c>
      <c r="D299" s="11" t="s">
        <v>24</v>
      </c>
      <c r="E299" s="7" t="str">
        <f t="shared" si="24"/>
        <v>050130406</v>
      </c>
      <c r="F299" s="1" t="s">
        <v>1223</v>
      </c>
      <c r="G299" s="1" t="str">
        <f t="shared" si="27"/>
        <v>抽屉013锯片刀</v>
      </c>
      <c r="H299" t="str">
        <f t="shared" si="25"/>
        <v>行号04</v>
      </c>
      <c r="I299" s="1" t="str">
        <f t="shared" si="26"/>
        <v>序号06</v>
      </c>
      <c r="J299" s="38"/>
      <c r="K299" s="41"/>
      <c r="L299" s="41"/>
      <c r="M299" s="41">
        <v>0</v>
      </c>
      <c r="N299" s="41">
        <v>0</v>
      </c>
    </row>
    <row r="300" spans="1:15">
      <c r="A300" s="8" t="s">
        <v>22</v>
      </c>
      <c r="B300" s="8" t="s">
        <v>415</v>
      </c>
      <c r="C300" s="8" t="s">
        <v>20</v>
      </c>
      <c r="D300" s="11" t="s">
        <v>26</v>
      </c>
      <c r="E300" s="7" t="str">
        <f t="shared" si="24"/>
        <v>050130407</v>
      </c>
      <c r="F300" s="1" t="s">
        <v>1223</v>
      </c>
      <c r="G300" s="1" t="str">
        <f t="shared" si="27"/>
        <v>抽屉013锯片刀</v>
      </c>
      <c r="H300" t="str">
        <f t="shared" si="25"/>
        <v>行号04</v>
      </c>
      <c r="I300" s="1" t="str">
        <f t="shared" si="26"/>
        <v>序号07</v>
      </c>
      <c r="J300" s="38"/>
      <c r="K300" s="41"/>
      <c r="L300" s="41"/>
      <c r="M300" s="41">
        <v>0</v>
      </c>
      <c r="N300" s="41">
        <v>0</v>
      </c>
    </row>
    <row r="301" spans="1:15">
      <c r="A301" s="8" t="s">
        <v>22</v>
      </c>
      <c r="B301" s="8" t="s">
        <v>415</v>
      </c>
      <c r="C301" s="8" t="s">
        <v>20</v>
      </c>
      <c r="D301" s="11" t="s">
        <v>28</v>
      </c>
      <c r="E301" s="7" t="str">
        <f t="shared" si="24"/>
        <v>050130408</v>
      </c>
      <c r="F301" s="1" t="s">
        <v>1223</v>
      </c>
      <c r="G301" s="1" t="str">
        <f t="shared" si="27"/>
        <v>抽屉013锯片刀</v>
      </c>
      <c r="H301" t="str">
        <f t="shared" si="25"/>
        <v>行号04</v>
      </c>
      <c r="I301" s="1" t="str">
        <f t="shared" si="26"/>
        <v>序号08</v>
      </c>
      <c r="J301" s="38"/>
      <c r="K301" s="41"/>
      <c r="L301" s="41"/>
      <c r="M301" s="41">
        <v>0</v>
      </c>
      <c r="N301" s="41">
        <v>0</v>
      </c>
    </row>
    <row r="302" spans="1:15">
      <c r="A302" s="8" t="s">
        <v>22</v>
      </c>
      <c r="B302" s="8" t="s">
        <v>1123</v>
      </c>
      <c r="C302" s="10" t="s">
        <v>14</v>
      </c>
      <c r="D302" s="8" t="s">
        <v>14</v>
      </c>
      <c r="E302" s="7" t="str">
        <f t="shared" si="24"/>
        <v>050140101</v>
      </c>
      <c r="F302" s="1" t="s">
        <v>1223</v>
      </c>
      <c r="G302" s="1" t="str">
        <f>"抽屉"&amp;B302&amp;"锯片刀"</f>
        <v>抽屉014锯片刀</v>
      </c>
      <c r="H302" t="str">
        <f t="shared" si="25"/>
        <v>行号01</v>
      </c>
      <c r="I302" s="1" t="str">
        <f t="shared" si="26"/>
        <v>序号01</v>
      </c>
      <c r="J302" s="36" t="s">
        <v>1124</v>
      </c>
      <c r="K302" s="39">
        <v>0</v>
      </c>
      <c r="L302" s="39">
        <v>10</v>
      </c>
      <c r="M302" s="39"/>
      <c r="N302" s="39"/>
      <c r="O302" s="17" t="s">
        <v>1262</v>
      </c>
    </row>
    <row r="303" spans="1:15">
      <c r="A303" s="8" t="s">
        <v>22</v>
      </c>
      <c r="B303" s="8" t="s">
        <v>1123</v>
      </c>
      <c r="C303" s="10" t="s">
        <v>14</v>
      </c>
      <c r="D303" s="8" t="s">
        <v>16</v>
      </c>
      <c r="E303" s="7" t="str">
        <f t="shared" si="24"/>
        <v>050140102</v>
      </c>
      <c r="F303" s="1" t="s">
        <v>1223</v>
      </c>
      <c r="G303" s="1" t="str">
        <f t="shared" ref="G303:G332" si="28">"抽屉"&amp;B303&amp;"锯片刀"</f>
        <v>抽屉014锯片刀</v>
      </c>
      <c r="H303" t="str">
        <f t="shared" si="25"/>
        <v>行号01</v>
      </c>
      <c r="I303" s="1" t="str">
        <f t="shared" si="26"/>
        <v>序号02</v>
      </c>
      <c r="J303" s="36" t="s">
        <v>1125</v>
      </c>
      <c r="K303" s="39">
        <v>0</v>
      </c>
      <c r="L303" s="39">
        <v>10</v>
      </c>
      <c r="M303" s="39"/>
      <c r="N303" s="39"/>
      <c r="O303" s="17" t="s">
        <v>1262</v>
      </c>
    </row>
    <row r="304" spans="1:15">
      <c r="A304" s="8" t="s">
        <v>22</v>
      </c>
      <c r="B304" s="8" t="s">
        <v>1123</v>
      </c>
      <c r="C304" s="10" t="s">
        <v>14</v>
      </c>
      <c r="D304" s="8" t="s">
        <v>18</v>
      </c>
      <c r="E304" s="7" t="str">
        <f t="shared" si="24"/>
        <v>050140103</v>
      </c>
      <c r="F304" s="1" t="s">
        <v>1223</v>
      </c>
      <c r="G304" s="1" t="str">
        <f t="shared" si="28"/>
        <v>抽屉014锯片刀</v>
      </c>
      <c r="H304" t="str">
        <f t="shared" si="25"/>
        <v>行号01</v>
      </c>
      <c r="I304" s="1" t="str">
        <f t="shared" si="26"/>
        <v>序号03</v>
      </c>
      <c r="J304" s="36" t="s">
        <v>1126</v>
      </c>
      <c r="K304" s="39">
        <v>0</v>
      </c>
      <c r="L304" s="39">
        <v>10</v>
      </c>
      <c r="M304" s="39"/>
      <c r="N304" s="39"/>
      <c r="O304" s="17" t="s">
        <v>1262</v>
      </c>
    </row>
    <row r="305" spans="1:15">
      <c r="A305" s="8" t="s">
        <v>22</v>
      </c>
      <c r="B305" s="8" t="s">
        <v>1123</v>
      </c>
      <c r="C305" s="10" t="s">
        <v>14</v>
      </c>
      <c r="D305" s="8" t="s">
        <v>20</v>
      </c>
      <c r="E305" s="7" t="str">
        <f t="shared" si="24"/>
        <v>050140104</v>
      </c>
      <c r="F305" s="1" t="s">
        <v>1223</v>
      </c>
      <c r="G305" s="1" t="str">
        <f t="shared" si="28"/>
        <v>抽屉014锯片刀</v>
      </c>
      <c r="H305" t="str">
        <f t="shared" si="25"/>
        <v>行号01</v>
      </c>
      <c r="I305" s="1" t="str">
        <f t="shared" si="26"/>
        <v>序号04</v>
      </c>
      <c r="J305" s="36" t="s">
        <v>1127</v>
      </c>
      <c r="K305" s="39">
        <v>0</v>
      </c>
      <c r="L305" s="39">
        <v>10</v>
      </c>
      <c r="M305" s="39"/>
      <c r="N305" s="39"/>
      <c r="O305" s="17" t="s">
        <v>1262</v>
      </c>
    </row>
    <row r="306" spans="1:15">
      <c r="A306" s="8" t="s">
        <v>22</v>
      </c>
      <c r="B306" s="8" t="s">
        <v>1123</v>
      </c>
      <c r="C306" s="10" t="s">
        <v>14</v>
      </c>
      <c r="D306" s="8" t="s">
        <v>22</v>
      </c>
      <c r="E306" s="7" t="str">
        <f t="shared" si="24"/>
        <v>050140105</v>
      </c>
      <c r="F306" s="1" t="s">
        <v>1223</v>
      </c>
      <c r="G306" s="1" t="str">
        <f t="shared" si="28"/>
        <v>抽屉014锯片刀</v>
      </c>
      <c r="H306" t="str">
        <f t="shared" si="25"/>
        <v>行号01</v>
      </c>
      <c r="I306" s="1" t="str">
        <f t="shared" si="26"/>
        <v>序号05</v>
      </c>
      <c r="J306" s="38"/>
      <c r="K306" s="41"/>
      <c r="L306" s="41"/>
      <c r="M306" s="41">
        <v>0</v>
      </c>
      <c r="N306" s="41">
        <v>0</v>
      </c>
    </row>
    <row r="307" spans="1:15">
      <c r="A307" s="8" t="s">
        <v>22</v>
      </c>
      <c r="B307" s="8" t="s">
        <v>1123</v>
      </c>
      <c r="C307" s="10" t="s">
        <v>14</v>
      </c>
      <c r="D307" s="8" t="s">
        <v>24</v>
      </c>
      <c r="E307" s="7" t="str">
        <f t="shared" si="24"/>
        <v>050140106</v>
      </c>
      <c r="F307" s="1" t="s">
        <v>1223</v>
      </c>
      <c r="G307" s="1" t="str">
        <f t="shared" si="28"/>
        <v>抽屉014锯片刀</v>
      </c>
      <c r="H307" t="str">
        <f t="shared" si="25"/>
        <v>行号01</v>
      </c>
      <c r="I307" s="1" t="str">
        <f t="shared" si="26"/>
        <v>序号06</v>
      </c>
      <c r="J307" s="38"/>
      <c r="K307" s="41"/>
      <c r="L307" s="41"/>
      <c r="M307" s="41">
        <v>0</v>
      </c>
      <c r="N307" s="41">
        <v>0</v>
      </c>
    </row>
    <row r="308" spans="1:15">
      <c r="A308" s="8" t="s">
        <v>22</v>
      </c>
      <c r="B308" s="8" t="s">
        <v>1123</v>
      </c>
      <c r="C308" s="10" t="s">
        <v>14</v>
      </c>
      <c r="D308" s="8" t="s">
        <v>26</v>
      </c>
      <c r="E308" s="7" t="str">
        <f t="shared" si="24"/>
        <v>050140107</v>
      </c>
      <c r="F308" s="1" t="s">
        <v>1223</v>
      </c>
      <c r="G308" s="1" t="str">
        <f t="shared" si="28"/>
        <v>抽屉014锯片刀</v>
      </c>
      <c r="H308" t="str">
        <f t="shared" si="25"/>
        <v>行号01</v>
      </c>
      <c r="I308" s="1" t="str">
        <f t="shared" si="26"/>
        <v>序号07</v>
      </c>
      <c r="J308" s="38"/>
      <c r="K308" s="41"/>
      <c r="L308" s="41"/>
      <c r="M308" s="41">
        <v>0</v>
      </c>
      <c r="N308" s="41">
        <v>0</v>
      </c>
    </row>
    <row r="309" spans="1:15">
      <c r="A309" s="8" t="s">
        <v>22</v>
      </c>
      <c r="B309" s="8" t="s">
        <v>1123</v>
      </c>
      <c r="C309" s="10" t="s">
        <v>14</v>
      </c>
      <c r="D309" s="8" t="s">
        <v>28</v>
      </c>
      <c r="E309" s="7" t="str">
        <f t="shared" si="24"/>
        <v>050140108</v>
      </c>
      <c r="F309" s="1" t="s">
        <v>1223</v>
      </c>
      <c r="G309" s="1" t="str">
        <f t="shared" si="28"/>
        <v>抽屉014锯片刀</v>
      </c>
      <c r="H309" t="str">
        <f t="shared" si="25"/>
        <v>行号01</v>
      </c>
      <c r="I309" s="1" t="str">
        <f t="shared" si="26"/>
        <v>序号08</v>
      </c>
      <c r="J309" s="38"/>
      <c r="K309" s="41"/>
      <c r="L309" s="41"/>
      <c r="M309" s="41">
        <v>0</v>
      </c>
      <c r="N309" s="41">
        <v>0</v>
      </c>
    </row>
    <row r="310" spans="1:15">
      <c r="A310" s="8" t="s">
        <v>22</v>
      </c>
      <c r="B310" s="8" t="s">
        <v>1123</v>
      </c>
      <c r="C310" s="8" t="s">
        <v>16</v>
      </c>
      <c r="D310" s="11" t="s">
        <v>14</v>
      </c>
      <c r="E310" s="7" t="str">
        <f t="shared" si="24"/>
        <v>050140201</v>
      </c>
      <c r="F310" s="1" t="s">
        <v>1223</v>
      </c>
      <c r="G310" s="1" t="str">
        <f t="shared" si="28"/>
        <v>抽屉014锯片刀</v>
      </c>
      <c r="H310" t="str">
        <f t="shared" si="25"/>
        <v>行号02</v>
      </c>
      <c r="I310" s="1" t="str">
        <f t="shared" si="26"/>
        <v>序号01</v>
      </c>
      <c r="J310" s="36" t="s">
        <v>1128</v>
      </c>
      <c r="K310" s="39">
        <v>0</v>
      </c>
      <c r="L310" s="39">
        <v>10</v>
      </c>
      <c r="M310" s="39"/>
      <c r="N310" s="39"/>
      <c r="O310" s="17" t="s">
        <v>1262</v>
      </c>
    </row>
    <row r="311" spans="1:15">
      <c r="A311" s="8" t="s">
        <v>22</v>
      </c>
      <c r="B311" s="8" t="s">
        <v>1123</v>
      </c>
      <c r="C311" s="8" t="s">
        <v>16</v>
      </c>
      <c r="D311" s="11" t="s">
        <v>16</v>
      </c>
      <c r="E311" s="7" t="str">
        <f t="shared" si="24"/>
        <v>050140202</v>
      </c>
      <c r="F311" s="1" t="s">
        <v>1223</v>
      </c>
      <c r="G311" s="1" t="str">
        <f t="shared" si="28"/>
        <v>抽屉014锯片刀</v>
      </c>
      <c r="H311" t="str">
        <f t="shared" si="25"/>
        <v>行号02</v>
      </c>
      <c r="I311" s="1" t="str">
        <f t="shared" si="26"/>
        <v>序号02</v>
      </c>
      <c r="J311" s="36" t="s">
        <v>1129</v>
      </c>
      <c r="K311" s="39">
        <v>0</v>
      </c>
      <c r="L311" s="39">
        <v>10</v>
      </c>
      <c r="M311" s="39"/>
      <c r="N311" s="39"/>
      <c r="O311" s="17" t="s">
        <v>1262</v>
      </c>
    </row>
    <row r="312" spans="1:15">
      <c r="A312" s="8" t="s">
        <v>22</v>
      </c>
      <c r="B312" s="8" t="s">
        <v>1123</v>
      </c>
      <c r="C312" s="8" t="s">
        <v>16</v>
      </c>
      <c r="D312" s="11" t="s">
        <v>18</v>
      </c>
      <c r="E312" s="7" t="str">
        <f t="shared" si="24"/>
        <v>050140203</v>
      </c>
      <c r="F312" s="1" t="s">
        <v>1223</v>
      </c>
      <c r="G312" s="1" t="str">
        <f t="shared" si="28"/>
        <v>抽屉014锯片刀</v>
      </c>
      <c r="H312" t="str">
        <f t="shared" si="25"/>
        <v>行号02</v>
      </c>
      <c r="I312" s="1" t="str">
        <f t="shared" si="26"/>
        <v>序号03</v>
      </c>
      <c r="J312" s="36" t="s">
        <v>1130</v>
      </c>
      <c r="K312" s="39">
        <v>0</v>
      </c>
      <c r="L312" s="39">
        <v>10</v>
      </c>
      <c r="M312" s="39"/>
      <c r="N312" s="39"/>
      <c r="O312" s="17" t="s">
        <v>1262</v>
      </c>
    </row>
    <row r="313" spans="1:15">
      <c r="A313" s="8" t="s">
        <v>22</v>
      </c>
      <c r="B313" s="8" t="s">
        <v>1123</v>
      </c>
      <c r="C313" s="8" t="s">
        <v>16</v>
      </c>
      <c r="D313" s="11" t="s">
        <v>20</v>
      </c>
      <c r="E313" s="7" t="str">
        <f t="shared" si="24"/>
        <v>050140204</v>
      </c>
      <c r="F313" s="1" t="s">
        <v>1223</v>
      </c>
      <c r="G313" s="1" t="str">
        <f t="shared" si="28"/>
        <v>抽屉014锯片刀</v>
      </c>
      <c r="H313" t="str">
        <f t="shared" si="25"/>
        <v>行号02</v>
      </c>
      <c r="I313" s="1" t="str">
        <f t="shared" si="26"/>
        <v>序号04</v>
      </c>
      <c r="J313" t="s">
        <v>1131</v>
      </c>
      <c r="K313" s="39">
        <v>0</v>
      </c>
      <c r="L313" s="39">
        <v>10</v>
      </c>
      <c r="M313" s="39"/>
      <c r="N313" s="39"/>
      <c r="O313" s="17" t="s">
        <v>1262</v>
      </c>
    </row>
    <row r="314" spans="1:15">
      <c r="A314" s="8" t="s">
        <v>22</v>
      </c>
      <c r="B314" s="8" t="s">
        <v>1123</v>
      </c>
      <c r="C314" s="8" t="s">
        <v>16</v>
      </c>
      <c r="D314" s="11" t="s">
        <v>22</v>
      </c>
      <c r="E314" s="7" t="str">
        <f t="shared" si="24"/>
        <v>050140205</v>
      </c>
      <c r="F314" s="1" t="s">
        <v>1223</v>
      </c>
      <c r="G314" s="1" t="str">
        <f t="shared" si="28"/>
        <v>抽屉014锯片刀</v>
      </c>
      <c r="H314" t="str">
        <f t="shared" si="25"/>
        <v>行号02</v>
      </c>
      <c r="I314" s="1" t="str">
        <f t="shared" si="26"/>
        <v>序号05</v>
      </c>
      <c r="J314" s="38"/>
      <c r="K314" s="41"/>
      <c r="L314" s="41"/>
      <c r="M314" s="41">
        <v>0</v>
      </c>
      <c r="N314" s="41">
        <v>0</v>
      </c>
    </row>
    <row r="315" spans="1:15">
      <c r="A315" s="8" t="s">
        <v>22</v>
      </c>
      <c r="B315" s="8" t="s">
        <v>1123</v>
      </c>
      <c r="C315" s="8" t="s">
        <v>16</v>
      </c>
      <c r="D315" s="11" t="s">
        <v>24</v>
      </c>
      <c r="E315" s="7" t="str">
        <f t="shared" si="24"/>
        <v>050140206</v>
      </c>
      <c r="F315" s="1" t="s">
        <v>1223</v>
      </c>
      <c r="G315" s="1" t="str">
        <f t="shared" si="28"/>
        <v>抽屉014锯片刀</v>
      </c>
      <c r="H315" t="str">
        <f t="shared" si="25"/>
        <v>行号02</v>
      </c>
      <c r="I315" s="1" t="str">
        <f t="shared" si="26"/>
        <v>序号06</v>
      </c>
      <c r="J315" s="38"/>
      <c r="K315" s="41"/>
      <c r="L315" s="41"/>
      <c r="M315" s="41">
        <v>0</v>
      </c>
      <c r="N315" s="41">
        <v>0</v>
      </c>
    </row>
    <row r="316" spans="1:15">
      <c r="A316" s="8" t="s">
        <v>22</v>
      </c>
      <c r="B316" s="8" t="s">
        <v>1123</v>
      </c>
      <c r="C316" s="8" t="s">
        <v>16</v>
      </c>
      <c r="D316" s="11" t="s">
        <v>26</v>
      </c>
      <c r="E316" s="7" t="str">
        <f t="shared" si="24"/>
        <v>050140207</v>
      </c>
      <c r="F316" s="1" t="s">
        <v>1223</v>
      </c>
      <c r="G316" s="1" t="str">
        <f t="shared" si="28"/>
        <v>抽屉014锯片刀</v>
      </c>
      <c r="H316" t="str">
        <f t="shared" si="25"/>
        <v>行号02</v>
      </c>
      <c r="I316" s="1" t="str">
        <f t="shared" si="26"/>
        <v>序号07</v>
      </c>
      <c r="J316" s="38"/>
      <c r="K316" s="41"/>
      <c r="L316" s="41"/>
      <c r="M316" s="41">
        <v>0</v>
      </c>
      <c r="N316" s="41">
        <v>0</v>
      </c>
    </row>
    <row r="317" spans="1:15">
      <c r="A317" s="8" t="s">
        <v>22</v>
      </c>
      <c r="B317" s="8" t="s">
        <v>1123</v>
      </c>
      <c r="C317" s="8" t="s">
        <v>16</v>
      </c>
      <c r="D317" s="11" t="s">
        <v>28</v>
      </c>
      <c r="E317" s="7" t="str">
        <f t="shared" si="24"/>
        <v>050140208</v>
      </c>
      <c r="F317" s="1" t="s">
        <v>1223</v>
      </c>
      <c r="G317" s="1" t="str">
        <f t="shared" si="28"/>
        <v>抽屉014锯片刀</v>
      </c>
      <c r="H317" t="str">
        <f t="shared" si="25"/>
        <v>行号02</v>
      </c>
      <c r="I317" s="1" t="str">
        <f t="shared" si="26"/>
        <v>序号08</v>
      </c>
      <c r="J317" s="38"/>
      <c r="K317" s="41"/>
      <c r="L317" s="41"/>
      <c r="M317" s="41">
        <v>0</v>
      </c>
      <c r="N317" s="41">
        <v>0</v>
      </c>
    </row>
    <row r="318" spans="1:15">
      <c r="A318" s="8" t="s">
        <v>22</v>
      </c>
      <c r="B318" s="8" t="s">
        <v>1123</v>
      </c>
      <c r="C318" s="10" t="s">
        <v>18</v>
      </c>
      <c r="D318" s="8" t="s">
        <v>14</v>
      </c>
      <c r="E318" s="7" t="str">
        <f t="shared" si="24"/>
        <v>050140301</v>
      </c>
      <c r="F318" s="1" t="s">
        <v>1223</v>
      </c>
      <c r="G318" s="1" t="str">
        <f t="shared" si="28"/>
        <v>抽屉014锯片刀</v>
      </c>
      <c r="H318" t="str">
        <f t="shared" si="25"/>
        <v>行号03</v>
      </c>
      <c r="I318" s="1" t="str">
        <f t="shared" si="26"/>
        <v>序号01</v>
      </c>
      <c r="J318" s="36" t="s">
        <v>1132</v>
      </c>
      <c r="K318" s="39">
        <v>0</v>
      </c>
      <c r="L318" s="39">
        <v>10</v>
      </c>
      <c r="M318" s="39"/>
      <c r="N318" s="39"/>
      <c r="O318" s="17" t="s">
        <v>1262</v>
      </c>
    </row>
    <row r="319" spans="1:15">
      <c r="A319" s="8" t="s">
        <v>22</v>
      </c>
      <c r="B319" s="8" t="s">
        <v>1123</v>
      </c>
      <c r="C319" s="10" t="s">
        <v>18</v>
      </c>
      <c r="D319" s="8" t="s">
        <v>16</v>
      </c>
      <c r="E319" s="7" t="str">
        <f t="shared" si="24"/>
        <v>050140302</v>
      </c>
      <c r="F319" s="1" t="s">
        <v>1223</v>
      </c>
      <c r="G319" s="1" t="str">
        <f t="shared" si="28"/>
        <v>抽屉014锯片刀</v>
      </c>
      <c r="H319" t="str">
        <f t="shared" si="25"/>
        <v>行号03</v>
      </c>
      <c r="I319" s="1" t="str">
        <f t="shared" si="26"/>
        <v>序号02</v>
      </c>
      <c r="J319" s="36" t="s">
        <v>1133</v>
      </c>
      <c r="K319" s="39">
        <v>0</v>
      </c>
      <c r="L319" s="39">
        <v>10</v>
      </c>
      <c r="M319" s="39"/>
      <c r="N319" s="39"/>
      <c r="O319" s="17" t="s">
        <v>1262</v>
      </c>
    </row>
    <row r="320" spans="1:15">
      <c r="A320" s="8" t="s">
        <v>22</v>
      </c>
      <c r="B320" s="8" t="s">
        <v>1123</v>
      </c>
      <c r="C320" s="10" t="s">
        <v>18</v>
      </c>
      <c r="D320" s="8" t="s">
        <v>18</v>
      </c>
      <c r="E320" s="7" t="str">
        <f t="shared" si="24"/>
        <v>050140303</v>
      </c>
      <c r="F320" s="1" t="s">
        <v>1223</v>
      </c>
      <c r="G320" s="1" t="str">
        <f t="shared" si="28"/>
        <v>抽屉014锯片刀</v>
      </c>
      <c r="H320" t="str">
        <f t="shared" si="25"/>
        <v>行号03</v>
      </c>
      <c r="I320" s="1" t="str">
        <f t="shared" si="26"/>
        <v>序号03</v>
      </c>
      <c r="J320" s="36" t="s">
        <v>1134</v>
      </c>
      <c r="K320" s="39">
        <v>0</v>
      </c>
      <c r="L320" s="39">
        <v>10</v>
      </c>
      <c r="M320" s="39"/>
      <c r="N320" s="39"/>
      <c r="O320" s="17" t="s">
        <v>1262</v>
      </c>
    </row>
    <row r="321" spans="1:15">
      <c r="A321" s="8" t="s">
        <v>22</v>
      </c>
      <c r="B321" s="8" t="s">
        <v>1123</v>
      </c>
      <c r="C321" s="10" t="s">
        <v>18</v>
      </c>
      <c r="D321" s="8" t="s">
        <v>22</v>
      </c>
      <c r="E321" s="7" t="str">
        <f t="shared" si="24"/>
        <v>050140305</v>
      </c>
      <c r="F321" s="1" t="s">
        <v>1223</v>
      </c>
      <c r="G321" s="1" t="str">
        <f t="shared" si="28"/>
        <v>抽屉014锯片刀</v>
      </c>
      <c r="H321" t="str">
        <f t="shared" si="25"/>
        <v>行号03</v>
      </c>
      <c r="I321" s="1" t="str">
        <f t="shared" si="26"/>
        <v>序号05</v>
      </c>
      <c r="J321" t="s">
        <v>1136</v>
      </c>
      <c r="K321" s="39"/>
      <c r="L321" s="39"/>
      <c r="M321" s="39"/>
      <c r="N321" s="39"/>
      <c r="O321" s="17" t="s">
        <v>1262</v>
      </c>
    </row>
    <row r="322" spans="1:15">
      <c r="A322" s="8" t="s">
        <v>22</v>
      </c>
      <c r="B322" s="8" t="s">
        <v>1123</v>
      </c>
      <c r="C322" s="10" t="s">
        <v>18</v>
      </c>
      <c r="D322" s="8" t="s">
        <v>24</v>
      </c>
      <c r="E322" s="7" t="str">
        <f t="shared" ref="E322:E385" si="29">A322&amp;B322&amp;C322&amp;D322</f>
        <v>050140306</v>
      </c>
      <c r="F322" s="1" t="s">
        <v>1223</v>
      </c>
      <c r="G322" s="1" t="str">
        <f t="shared" si="28"/>
        <v>抽屉014锯片刀</v>
      </c>
      <c r="H322" t="str">
        <f t="shared" ref="H322:H385" si="30">"行号"&amp;C322</f>
        <v>行号03</v>
      </c>
      <c r="I322" s="1" t="str">
        <f t="shared" ref="I322:I385" si="31">"序号"&amp;D322</f>
        <v>序号06</v>
      </c>
      <c r="J322" s="38"/>
      <c r="K322" s="41"/>
      <c r="L322" s="41"/>
      <c r="M322" s="41">
        <v>0</v>
      </c>
      <c r="N322" s="41">
        <v>0</v>
      </c>
    </row>
    <row r="323" spans="1:15">
      <c r="A323" s="8" t="s">
        <v>22</v>
      </c>
      <c r="B323" s="8" t="s">
        <v>1123</v>
      </c>
      <c r="C323" s="10" t="s">
        <v>18</v>
      </c>
      <c r="D323" s="8" t="s">
        <v>26</v>
      </c>
      <c r="E323" s="7" t="str">
        <f t="shared" si="29"/>
        <v>050140307</v>
      </c>
      <c r="F323" s="1" t="s">
        <v>1223</v>
      </c>
      <c r="G323" s="1" t="str">
        <f t="shared" si="28"/>
        <v>抽屉014锯片刀</v>
      </c>
      <c r="H323" t="str">
        <f t="shared" si="30"/>
        <v>行号03</v>
      </c>
      <c r="I323" s="1" t="str">
        <f t="shared" si="31"/>
        <v>序号07</v>
      </c>
      <c r="J323" s="38"/>
      <c r="K323" s="41"/>
      <c r="L323" s="41"/>
      <c r="M323" s="41">
        <v>0</v>
      </c>
      <c r="N323" s="41">
        <v>0</v>
      </c>
    </row>
    <row r="324" spans="1:15">
      <c r="A324" s="8" t="s">
        <v>22</v>
      </c>
      <c r="B324" s="8" t="s">
        <v>1123</v>
      </c>
      <c r="C324" s="10" t="s">
        <v>18</v>
      </c>
      <c r="D324" s="8" t="s">
        <v>28</v>
      </c>
      <c r="E324" s="7" t="str">
        <f t="shared" si="29"/>
        <v>050140308</v>
      </c>
      <c r="F324" s="1" t="s">
        <v>1223</v>
      </c>
      <c r="G324" s="1" t="str">
        <f t="shared" si="28"/>
        <v>抽屉014锯片刀</v>
      </c>
      <c r="H324" t="str">
        <f t="shared" si="30"/>
        <v>行号03</v>
      </c>
      <c r="I324" s="1" t="str">
        <f t="shared" si="31"/>
        <v>序号08</v>
      </c>
      <c r="J324" s="38"/>
      <c r="K324" s="41"/>
      <c r="L324" s="41"/>
      <c r="M324" s="41">
        <v>0</v>
      </c>
      <c r="N324" s="41">
        <v>0</v>
      </c>
    </row>
    <row r="325" spans="1:15">
      <c r="A325" s="8" t="s">
        <v>22</v>
      </c>
      <c r="B325" s="8" t="s">
        <v>1123</v>
      </c>
      <c r="C325" s="8" t="s">
        <v>20</v>
      </c>
      <c r="D325" s="11" t="s">
        <v>14</v>
      </c>
      <c r="E325" s="7" t="str">
        <f t="shared" si="29"/>
        <v>050140401</v>
      </c>
      <c r="F325" s="1" t="s">
        <v>1223</v>
      </c>
      <c r="G325" s="1" t="str">
        <f t="shared" si="28"/>
        <v>抽屉014锯片刀</v>
      </c>
      <c r="H325" t="str">
        <f t="shared" si="30"/>
        <v>行号04</v>
      </c>
      <c r="I325" s="1" t="str">
        <f t="shared" si="31"/>
        <v>序号01</v>
      </c>
      <c r="J325" s="36" t="s">
        <v>1137</v>
      </c>
      <c r="K325" s="39"/>
      <c r="L325" s="39"/>
      <c r="M325" s="39"/>
      <c r="N325" s="39"/>
      <c r="O325" s="17" t="s">
        <v>1262</v>
      </c>
    </row>
    <row r="326" spans="1:15">
      <c r="A326" s="8" t="s">
        <v>22</v>
      </c>
      <c r="B326" s="8" t="s">
        <v>1123</v>
      </c>
      <c r="C326" s="8" t="s">
        <v>20</v>
      </c>
      <c r="D326" s="11" t="s">
        <v>16</v>
      </c>
      <c r="E326" s="7" t="str">
        <f t="shared" si="29"/>
        <v>050140402</v>
      </c>
      <c r="F326" s="1" t="s">
        <v>1223</v>
      </c>
      <c r="G326" s="1" t="str">
        <f t="shared" si="28"/>
        <v>抽屉014锯片刀</v>
      </c>
      <c r="H326" t="str">
        <f t="shared" si="30"/>
        <v>行号04</v>
      </c>
      <c r="I326" s="1" t="str">
        <f t="shared" si="31"/>
        <v>序号02</v>
      </c>
      <c r="J326" s="36" t="s">
        <v>1138</v>
      </c>
      <c r="K326" s="39"/>
      <c r="L326" s="39"/>
      <c r="M326" s="39"/>
      <c r="N326" s="39"/>
      <c r="O326" s="17" t="s">
        <v>1262</v>
      </c>
    </row>
    <row r="327" spans="1:15">
      <c r="A327" s="8" t="s">
        <v>22</v>
      </c>
      <c r="B327" s="8" t="s">
        <v>1123</v>
      </c>
      <c r="C327" s="8" t="s">
        <v>20</v>
      </c>
      <c r="D327" s="11" t="s">
        <v>18</v>
      </c>
      <c r="E327" s="7" t="str">
        <f t="shared" si="29"/>
        <v>050140403</v>
      </c>
      <c r="F327" s="1" t="s">
        <v>1223</v>
      </c>
      <c r="G327" s="1" t="str">
        <f t="shared" si="28"/>
        <v>抽屉014锯片刀</v>
      </c>
      <c r="H327" t="str">
        <f t="shared" si="30"/>
        <v>行号04</v>
      </c>
      <c r="I327" s="1" t="str">
        <f t="shared" si="31"/>
        <v>序号03</v>
      </c>
      <c r="J327" s="38"/>
      <c r="K327" s="42"/>
      <c r="L327" s="42"/>
      <c r="M327" s="41">
        <v>0</v>
      </c>
      <c r="N327" s="41">
        <v>0</v>
      </c>
    </row>
    <row r="328" spans="1:15">
      <c r="A328" s="8" t="s">
        <v>22</v>
      </c>
      <c r="B328" s="8" t="s">
        <v>1123</v>
      </c>
      <c r="C328" s="8" t="s">
        <v>20</v>
      </c>
      <c r="D328" s="11" t="s">
        <v>20</v>
      </c>
      <c r="E328" s="7" t="str">
        <f t="shared" si="29"/>
        <v>050140404</v>
      </c>
      <c r="F328" s="1" t="s">
        <v>1223</v>
      </c>
      <c r="G328" s="1" t="str">
        <f t="shared" si="28"/>
        <v>抽屉014锯片刀</v>
      </c>
      <c r="H328" t="str">
        <f t="shared" si="30"/>
        <v>行号04</v>
      </c>
      <c r="I328" s="1" t="str">
        <f t="shared" si="31"/>
        <v>序号04</v>
      </c>
      <c r="J328" s="38"/>
      <c r="K328" s="42"/>
      <c r="L328" s="42"/>
      <c r="M328" s="41">
        <v>0</v>
      </c>
      <c r="N328" s="41">
        <v>0</v>
      </c>
    </row>
    <row r="329" spans="1:15">
      <c r="A329" s="8" t="s">
        <v>22</v>
      </c>
      <c r="B329" s="8" t="s">
        <v>1123</v>
      </c>
      <c r="C329" s="8" t="s">
        <v>20</v>
      </c>
      <c r="D329" s="11" t="s">
        <v>22</v>
      </c>
      <c r="E329" s="7" t="str">
        <f t="shared" si="29"/>
        <v>050140405</v>
      </c>
      <c r="F329" s="1" t="s">
        <v>1223</v>
      </c>
      <c r="G329" s="1" t="str">
        <f t="shared" si="28"/>
        <v>抽屉014锯片刀</v>
      </c>
      <c r="H329" t="str">
        <f t="shared" si="30"/>
        <v>行号04</v>
      </c>
      <c r="I329" s="1" t="str">
        <f t="shared" si="31"/>
        <v>序号05</v>
      </c>
      <c r="J329" s="38"/>
      <c r="K329" s="42"/>
      <c r="L329" s="42"/>
      <c r="M329" s="41">
        <v>0</v>
      </c>
      <c r="N329" s="41">
        <v>0</v>
      </c>
    </row>
    <row r="330" spans="1:15">
      <c r="A330" s="8" t="s">
        <v>22</v>
      </c>
      <c r="B330" s="8" t="s">
        <v>1123</v>
      </c>
      <c r="C330" s="8" t="s">
        <v>20</v>
      </c>
      <c r="D330" s="11" t="s">
        <v>24</v>
      </c>
      <c r="E330" s="7" t="str">
        <f t="shared" si="29"/>
        <v>050140406</v>
      </c>
      <c r="F330" s="1" t="s">
        <v>1223</v>
      </c>
      <c r="G330" s="1" t="str">
        <f t="shared" si="28"/>
        <v>抽屉014锯片刀</v>
      </c>
      <c r="H330" t="str">
        <f t="shared" si="30"/>
        <v>行号04</v>
      </c>
      <c r="I330" s="1" t="str">
        <f t="shared" si="31"/>
        <v>序号06</v>
      </c>
      <c r="J330" s="38"/>
      <c r="K330" s="42"/>
      <c r="L330" s="42"/>
      <c r="M330" s="41">
        <v>0</v>
      </c>
      <c r="N330" s="41">
        <v>0</v>
      </c>
    </row>
    <row r="331" spans="1:15">
      <c r="A331" s="8" t="s">
        <v>22</v>
      </c>
      <c r="B331" s="8" t="s">
        <v>1123</v>
      </c>
      <c r="C331" s="8" t="s">
        <v>20</v>
      </c>
      <c r="D331" s="11" t="s">
        <v>26</v>
      </c>
      <c r="E331" s="7" t="str">
        <f t="shared" si="29"/>
        <v>050140407</v>
      </c>
      <c r="F331" s="1" t="s">
        <v>1223</v>
      </c>
      <c r="G331" s="1" t="str">
        <f t="shared" si="28"/>
        <v>抽屉014锯片刀</v>
      </c>
      <c r="H331" t="str">
        <f t="shared" si="30"/>
        <v>行号04</v>
      </c>
      <c r="I331" s="1" t="str">
        <f t="shared" si="31"/>
        <v>序号07</v>
      </c>
      <c r="J331" s="38"/>
      <c r="K331" s="42"/>
      <c r="L331" s="42"/>
      <c r="M331" s="41">
        <v>0</v>
      </c>
      <c r="N331" s="41">
        <v>0</v>
      </c>
    </row>
    <row r="332" spans="1:15">
      <c r="A332" s="8" t="s">
        <v>22</v>
      </c>
      <c r="B332" s="8" t="s">
        <v>1123</v>
      </c>
      <c r="C332" s="8" t="s">
        <v>20</v>
      </c>
      <c r="D332" s="11" t="s">
        <v>28</v>
      </c>
      <c r="E332" s="7" t="str">
        <f t="shared" si="29"/>
        <v>050140408</v>
      </c>
      <c r="F332" s="1" t="s">
        <v>1223</v>
      </c>
      <c r="G332" s="1" t="str">
        <f t="shared" si="28"/>
        <v>抽屉014锯片刀</v>
      </c>
      <c r="H332" t="str">
        <f t="shared" si="30"/>
        <v>行号04</v>
      </c>
      <c r="I332" s="1" t="str">
        <f t="shared" si="31"/>
        <v>序号08</v>
      </c>
      <c r="J332" s="38"/>
      <c r="K332" s="42"/>
      <c r="L332" s="42"/>
      <c r="M332" s="41">
        <v>0</v>
      </c>
      <c r="N332" s="41">
        <v>0</v>
      </c>
    </row>
    <row r="333" spans="1:15">
      <c r="A333" s="8" t="s">
        <v>22</v>
      </c>
      <c r="B333" s="9" t="s">
        <v>14</v>
      </c>
      <c r="C333" s="10" t="s">
        <v>14</v>
      </c>
      <c r="D333" s="8" t="s">
        <v>22</v>
      </c>
      <c r="E333" s="7" t="str">
        <f t="shared" si="29"/>
        <v>05010105</v>
      </c>
      <c r="F333" s="1" t="s">
        <v>1223</v>
      </c>
      <c r="G333" s="1" t="str">
        <f t="shared" ref="G333:G385" si="32">"抽屉"&amp;B333</f>
        <v>抽屉01</v>
      </c>
      <c r="H333" t="str">
        <f t="shared" si="30"/>
        <v>行号01</v>
      </c>
      <c r="I333" s="1" t="str">
        <f t="shared" si="31"/>
        <v>序号05</v>
      </c>
      <c r="J333" s="38" t="s">
        <v>863</v>
      </c>
      <c r="K333" s="39"/>
      <c r="L333" s="39"/>
      <c r="M333" s="33"/>
      <c r="N333" s="33"/>
      <c r="O333" s="17" t="s">
        <v>1271</v>
      </c>
    </row>
    <row r="334" spans="1:15">
      <c r="A334" s="8" t="s">
        <v>22</v>
      </c>
      <c r="B334" s="9" t="s">
        <v>14</v>
      </c>
      <c r="C334" s="10" t="s">
        <v>14</v>
      </c>
      <c r="D334" s="8" t="s">
        <v>24</v>
      </c>
      <c r="E334" s="7" t="str">
        <f t="shared" si="29"/>
        <v>05010106</v>
      </c>
      <c r="F334" s="1" t="s">
        <v>1223</v>
      </c>
      <c r="G334" s="1" t="str">
        <f t="shared" si="32"/>
        <v>抽屉01</v>
      </c>
      <c r="H334" t="str">
        <f t="shared" si="30"/>
        <v>行号01</v>
      </c>
      <c r="I334" s="1" t="str">
        <f t="shared" si="31"/>
        <v>序号06</v>
      </c>
      <c r="J334" s="38" t="s">
        <v>864</v>
      </c>
      <c r="K334" s="39"/>
      <c r="L334" s="39"/>
      <c r="M334" s="33"/>
      <c r="N334" s="33"/>
      <c r="O334" s="17" t="s">
        <v>1271</v>
      </c>
    </row>
    <row r="335" spans="1:15">
      <c r="A335" s="8" t="s">
        <v>22</v>
      </c>
      <c r="B335" s="9" t="s">
        <v>14</v>
      </c>
      <c r="C335" s="8" t="s">
        <v>16</v>
      </c>
      <c r="D335" s="11" t="s">
        <v>14</v>
      </c>
      <c r="E335" s="7" t="str">
        <f t="shared" si="29"/>
        <v>05010201</v>
      </c>
      <c r="F335" s="1" t="s">
        <v>1223</v>
      </c>
      <c r="G335" s="1" t="str">
        <f t="shared" si="32"/>
        <v>抽屉01</v>
      </c>
      <c r="H335" t="str">
        <f t="shared" si="30"/>
        <v>行号02</v>
      </c>
      <c r="I335" s="1" t="str">
        <f t="shared" si="31"/>
        <v>序号01</v>
      </c>
      <c r="J335" s="38" t="s">
        <v>865</v>
      </c>
      <c r="K335" s="39"/>
      <c r="L335" s="39"/>
      <c r="M335" s="33"/>
      <c r="N335" s="33"/>
      <c r="O335" s="17" t="s">
        <v>1271</v>
      </c>
    </row>
    <row r="336" spans="1:15">
      <c r="A336" s="8" t="s">
        <v>22</v>
      </c>
      <c r="B336" s="9" t="s">
        <v>14</v>
      </c>
      <c r="C336" s="8" t="s">
        <v>16</v>
      </c>
      <c r="D336" s="11" t="s">
        <v>16</v>
      </c>
      <c r="E336" s="7" t="str">
        <f t="shared" si="29"/>
        <v>05010202</v>
      </c>
      <c r="F336" s="1" t="s">
        <v>1223</v>
      </c>
      <c r="G336" s="1" t="str">
        <f t="shared" si="32"/>
        <v>抽屉01</v>
      </c>
      <c r="H336" t="str">
        <f t="shared" si="30"/>
        <v>行号02</v>
      </c>
      <c r="I336" s="1" t="str">
        <f t="shared" si="31"/>
        <v>序号02</v>
      </c>
      <c r="J336" s="38" t="s">
        <v>866</v>
      </c>
      <c r="K336" s="39"/>
      <c r="L336" s="39"/>
      <c r="M336" s="33"/>
      <c r="N336" s="33"/>
      <c r="O336" s="17" t="s">
        <v>1271</v>
      </c>
    </row>
    <row r="337" spans="1:15">
      <c r="A337" s="8" t="s">
        <v>22</v>
      </c>
      <c r="B337" s="9" t="s">
        <v>14</v>
      </c>
      <c r="C337" s="8" t="s">
        <v>16</v>
      </c>
      <c r="D337" s="11" t="s">
        <v>18</v>
      </c>
      <c r="E337" s="7" t="str">
        <f t="shared" si="29"/>
        <v>05010203</v>
      </c>
      <c r="F337" s="1" t="s">
        <v>1223</v>
      </c>
      <c r="G337" s="1" t="str">
        <f t="shared" si="32"/>
        <v>抽屉01</v>
      </c>
      <c r="H337" t="str">
        <f t="shared" si="30"/>
        <v>行号02</v>
      </c>
      <c r="I337" s="1" t="str">
        <f t="shared" si="31"/>
        <v>序号03</v>
      </c>
      <c r="J337" s="38" t="s">
        <v>867</v>
      </c>
      <c r="K337" s="39"/>
      <c r="L337" s="39"/>
      <c r="M337" s="33"/>
      <c r="N337" s="33"/>
      <c r="O337" s="17" t="s">
        <v>1271</v>
      </c>
    </row>
    <row r="338" spans="1:15">
      <c r="A338" s="8" t="s">
        <v>22</v>
      </c>
      <c r="B338" s="8" t="s">
        <v>16</v>
      </c>
      <c r="C338" s="10" t="s">
        <v>14</v>
      </c>
      <c r="D338" s="8" t="s">
        <v>24</v>
      </c>
      <c r="E338" s="7" t="str">
        <f t="shared" si="29"/>
        <v>05020106</v>
      </c>
      <c r="F338" s="1" t="s">
        <v>1223</v>
      </c>
      <c r="G338" s="1" t="str">
        <f t="shared" si="32"/>
        <v>抽屉02</v>
      </c>
      <c r="H338" t="str">
        <f t="shared" si="30"/>
        <v>行号01</v>
      </c>
      <c r="I338" s="1" t="str">
        <f t="shared" si="31"/>
        <v>序号06</v>
      </c>
      <c r="J338" s="38" t="s">
        <v>882</v>
      </c>
      <c r="K338" s="39"/>
      <c r="L338" s="39"/>
      <c r="M338" s="33"/>
      <c r="N338" s="33"/>
      <c r="O338" s="32" t="s">
        <v>1233</v>
      </c>
    </row>
    <row r="339" spans="1:15">
      <c r="A339" s="8" t="s">
        <v>22</v>
      </c>
      <c r="B339" s="8" t="s">
        <v>16</v>
      </c>
      <c r="C339" s="8" t="s">
        <v>16</v>
      </c>
      <c r="D339" s="11" t="s">
        <v>14</v>
      </c>
      <c r="E339" s="7" t="str">
        <f t="shared" si="29"/>
        <v>05020201</v>
      </c>
      <c r="F339" s="1" t="s">
        <v>1223</v>
      </c>
      <c r="G339" s="1" t="str">
        <f t="shared" si="32"/>
        <v>抽屉02</v>
      </c>
      <c r="H339" t="str">
        <f t="shared" si="30"/>
        <v>行号02</v>
      </c>
      <c r="I339" s="1" t="str">
        <f t="shared" si="31"/>
        <v>序号01</v>
      </c>
      <c r="J339" s="38" t="s">
        <v>883</v>
      </c>
      <c r="K339" s="39"/>
      <c r="L339" s="39"/>
      <c r="M339" s="33"/>
      <c r="N339" s="33"/>
      <c r="O339" s="32" t="s">
        <v>1233</v>
      </c>
    </row>
    <row r="340" spans="1:15">
      <c r="A340" s="8" t="s">
        <v>22</v>
      </c>
      <c r="B340" s="8" t="s">
        <v>16</v>
      </c>
      <c r="C340" s="8" t="s">
        <v>16</v>
      </c>
      <c r="D340" s="11" t="s">
        <v>20</v>
      </c>
      <c r="E340" s="7" t="str">
        <f t="shared" si="29"/>
        <v>05020204</v>
      </c>
      <c r="F340" s="1" t="s">
        <v>1223</v>
      </c>
      <c r="G340" s="1" t="str">
        <f t="shared" si="32"/>
        <v>抽屉02</v>
      </c>
      <c r="H340" t="str">
        <f t="shared" si="30"/>
        <v>行号02</v>
      </c>
      <c r="I340" s="1" t="str">
        <f t="shared" si="31"/>
        <v>序号04</v>
      </c>
      <c r="J340" s="38" t="s">
        <v>886</v>
      </c>
      <c r="K340" s="39"/>
      <c r="L340" s="39"/>
      <c r="M340" s="33"/>
      <c r="N340" s="33"/>
      <c r="O340" s="32" t="s">
        <v>1233</v>
      </c>
    </row>
    <row r="341" spans="1:15">
      <c r="A341" s="8" t="s">
        <v>22</v>
      </c>
      <c r="B341" s="8" t="s">
        <v>16</v>
      </c>
      <c r="C341" s="8" t="s">
        <v>16</v>
      </c>
      <c r="D341" s="11" t="s">
        <v>22</v>
      </c>
      <c r="E341" s="7" t="str">
        <f t="shared" si="29"/>
        <v>05020205</v>
      </c>
      <c r="F341" s="1" t="s">
        <v>1223</v>
      </c>
      <c r="G341" s="1" t="str">
        <f t="shared" si="32"/>
        <v>抽屉02</v>
      </c>
      <c r="H341" t="str">
        <f t="shared" si="30"/>
        <v>行号02</v>
      </c>
      <c r="I341" s="1" t="str">
        <f t="shared" si="31"/>
        <v>序号05</v>
      </c>
      <c r="J341" s="38" t="s">
        <v>887</v>
      </c>
      <c r="K341" s="39"/>
      <c r="L341" s="39"/>
      <c r="M341" s="33"/>
      <c r="N341" s="33"/>
      <c r="O341" s="32" t="s">
        <v>1233</v>
      </c>
    </row>
    <row r="342" spans="1:15">
      <c r="A342" s="8" t="s">
        <v>22</v>
      </c>
      <c r="B342" s="8" t="s">
        <v>16</v>
      </c>
      <c r="C342" s="8" t="s">
        <v>20</v>
      </c>
      <c r="D342" s="11" t="s">
        <v>16</v>
      </c>
      <c r="E342" s="7" t="str">
        <f t="shared" si="29"/>
        <v>05020402</v>
      </c>
      <c r="F342" s="1" t="s">
        <v>1223</v>
      </c>
      <c r="G342" s="1" t="str">
        <f t="shared" si="32"/>
        <v>抽屉02</v>
      </c>
      <c r="H342" t="str">
        <f t="shared" si="30"/>
        <v>行号04</v>
      </c>
      <c r="I342" s="1" t="str">
        <f t="shared" si="31"/>
        <v>序号02</v>
      </c>
      <c r="J342" s="38" t="s">
        <v>898</v>
      </c>
      <c r="K342" s="39"/>
      <c r="L342" s="39"/>
      <c r="M342" s="33"/>
      <c r="N342" s="33"/>
      <c r="O342" s="32" t="s">
        <v>1237</v>
      </c>
    </row>
    <row r="343" spans="1:15">
      <c r="A343" s="8" t="s">
        <v>22</v>
      </c>
      <c r="B343" s="8" t="s">
        <v>16</v>
      </c>
      <c r="C343" s="8" t="s">
        <v>20</v>
      </c>
      <c r="D343" s="11" t="s">
        <v>18</v>
      </c>
      <c r="E343" s="7" t="str">
        <f t="shared" si="29"/>
        <v>05020403</v>
      </c>
      <c r="F343" s="1" t="s">
        <v>1223</v>
      </c>
      <c r="G343" s="1" t="str">
        <f t="shared" si="32"/>
        <v>抽屉02</v>
      </c>
      <c r="H343" t="str">
        <f t="shared" si="30"/>
        <v>行号04</v>
      </c>
      <c r="I343" s="1" t="str">
        <f t="shared" si="31"/>
        <v>序号03</v>
      </c>
      <c r="J343" s="38" t="s">
        <v>899</v>
      </c>
      <c r="K343" s="39"/>
      <c r="L343" s="39"/>
      <c r="M343" s="33"/>
      <c r="N343" s="33"/>
      <c r="O343" s="17" t="s">
        <v>1271</v>
      </c>
    </row>
    <row r="344" spans="1:15">
      <c r="A344" s="8" t="s">
        <v>22</v>
      </c>
      <c r="B344" s="8" t="s">
        <v>16</v>
      </c>
      <c r="C344" s="8" t="s">
        <v>20</v>
      </c>
      <c r="D344" s="11" t="s">
        <v>20</v>
      </c>
      <c r="E344" s="7" t="str">
        <f t="shared" si="29"/>
        <v>05020404</v>
      </c>
      <c r="F344" s="1" t="s">
        <v>1223</v>
      </c>
      <c r="G344" s="1" t="str">
        <f t="shared" si="32"/>
        <v>抽屉02</v>
      </c>
      <c r="H344" t="str">
        <f t="shared" si="30"/>
        <v>行号04</v>
      </c>
      <c r="I344" s="1" t="str">
        <f t="shared" si="31"/>
        <v>序号04</v>
      </c>
      <c r="J344" s="24" t="s">
        <v>595</v>
      </c>
      <c r="K344" s="39"/>
      <c r="L344" s="39"/>
      <c r="M344" s="33"/>
      <c r="N344" s="33"/>
      <c r="O344" s="17" t="s">
        <v>1271</v>
      </c>
    </row>
    <row r="345" spans="1:15">
      <c r="A345" s="8" t="s">
        <v>22</v>
      </c>
      <c r="B345" s="8" t="s">
        <v>16</v>
      </c>
      <c r="C345" s="8" t="s">
        <v>20</v>
      </c>
      <c r="D345" s="11" t="s">
        <v>22</v>
      </c>
      <c r="E345" s="7" t="str">
        <f t="shared" si="29"/>
        <v>05020405</v>
      </c>
      <c r="F345" s="1" t="s">
        <v>1223</v>
      </c>
      <c r="G345" s="1" t="str">
        <f t="shared" si="32"/>
        <v>抽屉02</v>
      </c>
      <c r="H345" t="str">
        <f t="shared" si="30"/>
        <v>行号04</v>
      </c>
      <c r="I345" s="1" t="str">
        <f t="shared" si="31"/>
        <v>序号05</v>
      </c>
      <c r="J345" s="24" t="s">
        <v>902</v>
      </c>
      <c r="K345" s="39"/>
      <c r="L345" s="39"/>
      <c r="M345" s="33"/>
      <c r="N345" s="33"/>
      <c r="O345" s="17" t="s">
        <v>1271</v>
      </c>
    </row>
    <row r="346" spans="1:15">
      <c r="A346" s="8" t="s">
        <v>22</v>
      </c>
      <c r="B346" s="8" t="s">
        <v>16</v>
      </c>
      <c r="C346" s="8" t="s">
        <v>20</v>
      </c>
      <c r="D346" s="11" t="s">
        <v>24</v>
      </c>
      <c r="E346" s="7" t="str">
        <f t="shared" si="29"/>
        <v>05020406</v>
      </c>
      <c r="F346" s="1" t="s">
        <v>1223</v>
      </c>
      <c r="G346" s="1" t="str">
        <f t="shared" si="32"/>
        <v>抽屉02</v>
      </c>
      <c r="H346" t="str">
        <f t="shared" si="30"/>
        <v>行号04</v>
      </c>
      <c r="I346" s="1" t="str">
        <f t="shared" si="31"/>
        <v>序号06</v>
      </c>
      <c r="J346" s="38" t="s">
        <v>599</v>
      </c>
      <c r="K346" s="39"/>
      <c r="L346" s="39"/>
      <c r="M346" s="33"/>
      <c r="N346" s="33"/>
      <c r="O346" s="17" t="s">
        <v>1271</v>
      </c>
    </row>
    <row r="347" spans="1:15">
      <c r="A347" s="8" t="s">
        <v>22</v>
      </c>
      <c r="B347" s="8" t="s">
        <v>16</v>
      </c>
      <c r="C347" s="8" t="s">
        <v>20</v>
      </c>
      <c r="D347" s="11" t="s">
        <v>26</v>
      </c>
      <c r="E347" s="7" t="str">
        <f t="shared" si="29"/>
        <v>05020407</v>
      </c>
      <c r="F347" s="1" t="s">
        <v>1223</v>
      </c>
      <c r="G347" s="1" t="str">
        <f t="shared" si="32"/>
        <v>抽屉02</v>
      </c>
      <c r="H347" t="str">
        <f t="shared" si="30"/>
        <v>行号04</v>
      </c>
      <c r="I347" s="1" t="str">
        <f t="shared" si="31"/>
        <v>序号07</v>
      </c>
      <c r="J347" s="38" t="s">
        <v>904</v>
      </c>
      <c r="K347" s="39"/>
      <c r="L347" s="39"/>
      <c r="M347" s="33"/>
      <c r="N347" s="33"/>
      <c r="O347" s="17" t="s">
        <v>1271</v>
      </c>
    </row>
    <row r="348" spans="1:15">
      <c r="A348" s="8" t="s">
        <v>22</v>
      </c>
      <c r="B348" s="9" t="s">
        <v>18</v>
      </c>
      <c r="C348" s="8" t="s">
        <v>16</v>
      </c>
      <c r="D348" s="11" t="s">
        <v>16</v>
      </c>
      <c r="E348" s="7" t="str">
        <f t="shared" si="29"/>
        <v>05030202</v>
      </c>
      <c r="F348" s="1" t="s">
        <v>1223</v>
      </c>
      <c r="G348" s="1" t="str">
        <f t="shared" si="32"/>
        <v>抽屉03</v>
      </c>
      <c r="H348" t="str">
        <f t="shared" si="30"/>
        <v>行号02</v>
      </c>
      <c r="I348" s="1" t="str">
        <f t="shared" si="31"/>
        <v>序号02</v>
      </c>
      <c r="J348" s="38" t="s">
        <v>914</v>
      </c>
      <c r="K348" s="39"/>
      <c r="L348" s="39"/>
      <c r="M348" s="33"/>
      <c r="N348" s="33"/>
      <c r="O348" s="23" t="s">
        <v>1239</v>
      </c>
    </row>
    <row r="349" spans="1:15">
      <c r="A349" s="8" t="s">
        <v>22</v>
      </c>
      <c r="B349" s="9" t="s">
        <v>18</v>
      </c>
      <c r="C349" s="8" t="s">
        <v>16</v>
      </c>
      <c r="D349" s="11" t="s">
        <v>20</v>
      </c>
      <c r="E349" s="7" t="str">
        <f t="shared" si="29"/>
        <v>05030204</v>
      </c>
      <c r="F349" s="1" t="s">
        <v>1223</v>
      </c>
      <c r="G349" s="1" t="str">
        <f t="shared" si="32"/>
        <v>抽屉03</v>
      </c>
      <c r="H349" t="str">
        <f t="shared" si="30"/>
        <v>行号02</v>
      </c>
      <c r="I349" s="1" t="str">
        <f t="shared" si="31"/>
        <v>序号04</v>
      </c>
      <c r="J349" s="24" t="s">
        <v>607</v>
      </c>
      <c r="K349" s="39"/>
      <c r="L349" s="39"/>
      <c r="M349" s="33"/>
      <c r="N349" s="33"/>
      <c r="O349" s="17" t="s">
        <v>1271</v>
      </c>
    </row>
    <row r="350" spans="1:15">
      <c r="A350" s="8" t="s">
        <v>22</v>
      </c>
      <c r="B350" s="9" t="s">
        <v>18</v>
      </c>
      <c r="C350" s="8" t="s">
        <v>16</v>
      </c>
      <c r="D350" s="11" t="s">
        <v>22</v>
      </c>
      <c r="E350" s="7" t="str">
        <f t="shared" si="29"/>
        <v>05030205</v>
      </c>
      <c r="F350" s="1" t="s">
        <v>1223</v>
      </c>
      <c r="G350" s="1" t="str">
        <f t="shared" si="32"/>
        <v>抽屉03</v>
      </c>
      <c r="H350" t="str">
        <f t="shared" si="30"/>
        <v>行号02</v>
      </c>
      <c r="I350" s="1" t="str">
        <f t="shared" si="31"/>
        <v>序号05</v>
      </c>
      <c r="J350" s="24" t="s">
        <v>607</v>
      </c>
      <c r="K350" s="39"/>
      <c r="L350" s="39"/>
      <c r="M350" s="33"/>
      <c r="N350" s="33"/>
      <c r="O350" s="17" t="s">
        <v>1271</v>
      </c>
    </row>
    <row r="351" spans="1:15">
      <c r="A351" s="8" t="s">
        <v>22</v>
      </c>
      <c r="B351" s="9" t="s">
        <v>18</v>
      </c>
      <c r="C351" s="10" t="s">
        <v>18</v>
      </c>
      <c r="D351" s="8" t="s">
        <v>14</v>
      </c>
      <c r="E351" s="7" t="str">
        <f t="shared" si="29"/>
        <v>05030301</v>
      </c>
      <c r="F351" s="1" t="s">
        <v>1223</v>
      </c>
      <c r="G351" s="1" t="str">
        <f t="shared" si="32"/>
        <v>抽屉03</v>
      </c>
      <c r="H351" t="str">
        <f t="shared" si="30"/>
        <v>行号03</v>
      </c>
      <c r="I351" s="1" t="str">
        <f t="shared" si="31"/>
        <v>序号01</v>
      </c>
      <c r="J351" s="24" t="s">
        <v>610</v>
      </c>
      <c r="K351" s="39"/>
      <c r="L351" s="39"/>
      <c r="M351" s="33"/>
      <c r="N351" s="33"/>
      <c r="O351" s="17" t="s">
        <v>1271</v>
      </c>
    </row>
    <row r="352" spans="1:15">
      <c r="A352" s="8" t="s">
        <v>22</v>
      </c>
      <c r="B352" s="9" t="s">
        <v>18</v>
      </c>
      <c r="C352" s="10" t="s">
        <v>18</v>
      </c>
      <c r="D352" s="8" t="s">
        <v>16</v>
      </c>
      <c r="E352" s="7" t="str">
        <f t="shared" si="29"/>
        <v>05030302</v>
      </c>
      <c r="F352" s="1" t="s">
        <v>1223</v>
      </c>
      <c r="G352" s="1" t="str">
        <f t="shared" si="32"/>
        <v>抽屉03</v>
      </c>
      <c r="H352" t="str">
        <f t="shared" si="30"/>
        <v>行号03</v>
      </c>
      <c r="I352" s="1" t="str">
        <f t="shared" si="31"/>
        <v>序号02</v>
      </c>
      <c r="J352" s="24" t="s">
        <v>918</v>
      </c>
      <c r="K352" s="39"/>
      <c r="L352" s="39"/>
      <c r="M352" s="33"/>
      <c r="N352" s="33"/>
      <c r="O352" s="17" t="s">
        <v>1271</v>
      </c>
    </row>
    <row r="353" spans="1:15">
      <c r="A353" s="8" t="s">
        <v>22</v>
      </c>
      <c r="B353" s="9" t="s">
        <v>18</v>
      </c>
      <c r="C353" s="10" t="s">
        <v>18</v>
      </c>
      <c r="D353" s="8" t="s">
        <v>18</v>
      </c>
      <c r="E353" s="7" t="str">
        <f t="shared" si="29"/>
        <v>05030303</v>
      </c>
      <c r="F353" s="1" t="s">
        <v>1223</v>
      </c>
      <c r="G353" s="1" t="str">
        <f t="shared" si="32"/>
        <v>抽屉03</v>
      </c>
      <c r="H353" t="str">
        <f t="shared" si="30"/>
        <v>行号03</v>
      </c>
      <c r="I353" s="1" t="str">
        <f t="shared" si="31"/>
        <v>序号03</v>
      </c>
      <c r="J353" s="24" t="s">
        <v>919</v>
      </c>
      <c r="K353" s="39"/>
      <c r="L353" s="39"/>
      <c r="M353" s="33"/>
      <c r="N353" s="33"/>
      <c r="O353" s="17" t="s">
        <v>1271</v>
      </c>
    </row>
    <row r="354" spans="1:15">
      <c r="A354" s="8" t="s">
        <v>22</v>
      </c>
      <c r="B354" s="9" t="s">
        <v>18</v>
      </c>
      <c r="C354" s="10" t="s">
        <v>18</v>
      </c>
      <c r="D354" s="8" t="s">
        <v>20</v>
      </c>
      <c r="E354" s="7" t="str">
        <f t="shared" si="29"/>
        <v>05030304</v>
      </c>
      <c r="F354" s="1" t="s">
        <v>1223</v>
      </c>
      <c r="G354" s="1" t="str">
        <f t="shared" si="32"/>
        <v>抽屉03</v>
      </c>
      <c r="H354" t="str">
        <f t="shared" si="30"/>
        <v>行号03</v>
      </c>
      <c r="I354" s="1" t="str">
        <f t="shared" si="31"/>
        <v>序号04</v>
      </c>
      <c r="J354" s="38" t="s">
        <v>920</v>
      </c>
      <c r="K354" s="39"/>
      <c r="L354" s="39"/>
      <c r="M354" s="33"/>
      <c r="N354" s="33"/>
      <c r="O354" s="17" t="s">
        <v>1271</v>
      </c>
    </row>
    <row r="355" spans="1:15">
      <c r="A355" s="8" t="s">
        <v>22</v>
      </c>
      <c r="B355" s="9" t="s">
        <v>18</v>
      </c>
      <c r="C355" s="10" t="s">
        <v>18</v>
      </c>
      <c r="D355" s="8" t="s">
        <v>22</v>
      </c>
      <c r="E355" s="7" t="str">
        <f t="shared" si="29"/>
        <v>05030305</v>
      </c>
      <c r="F355" s="1" t="s">
        <v>1223</v>
      </c>
      <c r="G355" s="1" t="str">
        <f t="shared" si="32"/>
        <v>抽屉03</v>
      </c>
      <c r="H355" t="str">
        <f t="shared" si="30"/>
        <v>行号03</v>
      </c>
      <c r="I355" s="1" t="str">
        <f t="shared" si="31"/>
        <v>序号05</v>
      </c>
      <c r="J355" s="38" t="s">
        <v>921</v>
      </c>
      <c r="K355" s="39"/>
      <c r="L355" s="39"/>
      <c r="M355" s="33"/>
      <c r="N355" s="33"/>
      <c r="O355" s="17" t="s">
        <v>1271</v>
      </c>
    </row>
    <row r="356" spans="1:15">
      <c r="A356" s="8" t="s">
        <v>22</v>
      </c>
      <c r="B356" s="9" t="s">
        <v>18</v>
      </c>
      <c r="C356" s="10" t="s">
        <v>18</v>
      </c>
      <c r="D356" s="8" t="s">
        <v>24</v>
      </c>
      <c r="E356" s="7" t="str">
        <f t="shared" si="29"/>
        <v>05030306</v>
      </c>
      <c r="F356" s="1" t="s">
        <v>1223</v>
      </c>
      <c r="G356" s="1" t="str">
        <f t="shared" si="32"/>
        <v>抽屉03</v>
      </c>
      <c r="H356" t="str">
        <f t="shared" si="30"/>
        <v>行号03</v>
      </c>
      <c r="I356" s="1" t="str">
        <f t="shared" si="31"/>
        <v>序号06</v>
      </c>
      <c r="J356" s="38" t="s">
        <v>922</v>
      </c>
      <c r="K356" s="39"/>
      <c r="L356" s="39"/>
      <c r="M356" s="33"/>
      <c r="N356" s="33"/>
      <c r="O356" s="17" t="s">
        <v>1271</v>
      </c>
    </row>
    <row r="357" spans="1:15">
      <c r="A357" s="8" t="s">
        <v>22</v>
      </c>
      <c r="B357" s="9" t="s">
        <v>18</v>
      </c>
      <c r="C357" s="10" t="s">
        <v>18</v>
      </c>
      <c r="D357" s="8" t="s">
        <v>26</v>
      </c>
      <c r="E357" s="7" t="str">
        <f t="shared" si="29"/>
        <v>05030307</v>
      </c>
      <c r="F357" s="1" t="s">
        <v>1223</v>
      </c>
      <c r="G357" s="1" t="str">
        <f t="shared" si="32"/>
        <v>抽屉03</v>
      </c>
      <c r="H357" t="str">
        <f t="shared" si="30"/>
        <v>行号03</v>
      </c>
      <c r="I357" s="1" t="str">
        <f t="shared" si="31"/>
        <v>序号07</v>
      </c>
      <c r="J357" s="38" t="s">
        <v>923</v>
      </c>
      <c r="K357" s="39"/>
      <c r="L357" s="39"/>
      <c r="M357" s="33"/>
      <c r="N357" s="33"/>
      <c r="O357" s="17" t="s">
        <v>1271</v>
      </c>
    </row>
    <row r="358" spans="1:15">
      <c r="A358" s="8" t="s">
        <v>22</v>
      </c>
      <c r="B358" s="9" t="s">
        <v>18</v>
      </c>
      <c r="C358" s="10" t="s">
        <v>18</v>
      </c>
      <c r="D358" s="8" t="s">
        <v>28</v>
      </c>
      <c r="E358" s="7" t="str">
        <f t="shared" si="29"/>
        <v>05030308</v>
      </c>
      <c r="F358" s="1" t="s">
        <v>1223</v>
      </c>
      <c r="G358" s="1" t="str">
        <f t="shared" si="32"/>
        <v>抽屉03</v>
      </c>
      <c r="H358" t="str">
        <f t="shared" si="30"/>
        <v>行号03</v>
      </c>
      <c r="I358" s="1" t="str">
        <f t="shared" si="31"/>
        <v>序号08</v>
      </c>
      <c r="J358" s="38" t="s">
        <v>924</v>
      </c>
      <c r="K358" s="39"/>
      <c r="L358" s="39"/>
      <c r="M358" s="33"/>
      <c r="N358" s="33"/>
      <c r="O358" s="17" t="s">
        <v>1271</v>
      </c>
    </row>
    <row r="359" spans="1:15">
      <c r="A359" s="8" t="s">
        <v>22</v>
      </c>
      <c r="B359" s="9" t="s">
        <v>18</v>
      </c>
      <c r="C359" s="8" t="s">
        <v>20</v>
      </c>
      <c r="D359" s="11" t="s">
        <v>14</v>
      </c>
      <c r="E359" s="7" t="str">
        <f t="shared" si="29"/>
        <v>05030401</v>
      </c>
      <c r="F359" s="1" t="s">
        <v>1223</v>
      </c>
      <c r="G359" s="1" t="str">
        <f t="shared" si="32"/>
        <v>抽屉03</v>
      </c>
      <c r="H359" t="str">
        <f t="shared" si="30"/>
        <v>行号04</v>
      </c>
      <c r="I359" s="1" t="str">
        <f t="shared" si="31"/>
        <v>序号01</v>
      </c>
      <c r="J359" s="38" t="s">
        <v>925</v>
      </c>
      <c r="K359" s="39"/>
      <c r="L359" s="39"/>
      <c r="M359" s="33"/>
      <c r="N359" s="33"/>
      <c r="O359" s="17" t="s">
        <v>1271</v>
      </c>
    </row>
    <row r="360" spans="1:15">
      <c r="A360" s="8" t="s">
        <v>22</v>
      </c>
      <c r="B360" s="9" t="s">
        <v>18</v>
      </c>
      <c r="C360" s="8" t="s">
        <v>20</v>
      </c>
      <c r="D360" s="11" t="s">
        <v>16</v>
      </c>
      <c r="E360" s="7" t="str">
        <f t="shared" si="29"/>
        <v>05030402</v>
      </c>
      <c r="F360" s="1" t="s">
        <v>1223</v>
      </c>
      <c r="G360" s="1" t="str">
        <f t="shared" si="32"/>
        <v>抽屉03</v>
      </c>
      <c r="H360" t="str">
        <f t="shared" si="30"/>
        <v>行号04</v>
      </c>
      <c r="I360" s="1" t="str">
        <f t="shared" si="31"/>
        <v>序号02</v>
      </c>
      <c r="J360" s="38" t="s">
        <v>926</v>
      </c>
      <c r="K360" s="39"/>
      <c r="L360" s="39"/>
      <c r="M360" s="33"/>
      <c r="N360" s="33"/>
      <c r="O360" s="17" t="s">
        <v>1271</v>
      </c>
    </row>
    <row r="361" spans="1:15">
      <c r="A361" s="8" t="s">
        <v>22</v>
      </c>
      <c r="B361" s="9" t="s">
        <v>18</v>
      </c>
      <c r="C361" s="8" t="s">
        <v>20</v>
      </c>
      <c r="D361" s="11" t="s">
        <v>18</v>
      </c>
      <c r="E361" s="7" t="str">
        <f t="shared" si="29"/>
        <v>05030403</v>
      </c>
      <c r="F361" s="1" t="s">
        <v>1223</v>
      </c>
      <c r="G361" s="1" t="str">
        <f t="shared" si="32"/>
        <v>抽屉03</v>
      </c>
      <c r="H361" t="str">
        <f t="shared" si="30"/>
        <v>行号04</v>
      </c>
      <c r="I361" s="1" t="str">
        <f t="shared" si="31"/>
        <v>序号03</v>
      </c>
      <c r="J361" s="38" t="s">
        <v>927</v>
      </c>
      <c r="K361" s="39"/>
      <c r="L361" s="39"/>
      <c r="M361" s="33"/>
      <c r="N361" s="33"/>
      <c r="O361" s="17" t="s">
        <v>1271</v>
      </c>
    </row>
    <row r="362" spans="1:15">
      <c r="A362" s="8" t="s">
        <v>22</v>
      </c>
      <c r="B362" s="9" t="s">
        <v>18</v>
      </c>
      <c r="C362" s="8" t="s">
        <v>20</v>
      </c>
      <c r="D362" s="11" t="s">
        <v>20</v>
      </c>
      <c r="E362" s="7" t="str">
        <f t="shared" si="29"/>
        <v>05030404</v>
      </c>
      <c r="F362" s="1" t="s">
        <v>1223</v>
      </c>
      <c r="G362" s="1" t="str">
        <f t="shared" si="32"/>
        <v>抽屉03</v>
      </c>
      <c r="H362" t="str">
        <f t="shared" si="30"/>
        <v>行号04</v>
      </c>
      <c r="I362" s="1" t="str">
        <f t="shared" si="31"/>
        <v>序号04</v>
      </c>
      <c r="J362" s="38" t="s">
        <v>900</v>
      </c>
      <c r="K362" s="39"/>
      <c r="L362" s="39"/>
      <c r="M362" s="33"/>
      <c r="N362" s="33"/>
      <c r="O362" s="17" t="s">
        <v>1271</v>
      </c>
    </row>
    <row r="363" spans="1:15">
      <c r="A363" s="8" t="s">
        <v>22</v>
      </c>
      <c r="B363" s="9" t="s">
        <v>18</v>
      </c>
      <c r="C363" s="8" t="s">
        <v>20</v>
      </c>
      <c r="D363" s="11" t="s">
        <v>22</v>
      </c>
      <c r="E363" s="7" t="str">
        <f t="shared" si="29"/>
        <v>05030405</v>
      </c>
      <c r="F363" s="1" t="s">
        <v>1223</v>
      </c>
      <c r="G363" s="1" t="str">
        <f t="shared" si="32"/>
        <v>抽屉03</v>
      </c>
      <c r="H363" t="str">
        <f t="shared" si="30"/>
        <v>行号04</v>
      </c>
      <c r="I363" s="1" t="str">
        <f t="shared" si="31"/>
        <v>序号05</v>
      </c>
      <c r="J363" s="38" t="s">
        <v>928</v>
      </c>
      <c r="K363" s="39"/>
      <c r="L363" s="39"/>
      <c r="M363" s="33"/>
      <c r="N363" s="33"/>
      <c r="O363" s="17" t="s">
        <v>1271</v>
      </c>
    </row>
    <row r="364" spans="1:15">
      <c r="A364" s="8" t="s">
        <v>22</v>
      </c>
      <c r="B364" s="9" t="s">
        <v>18</v>
      </c>
      <c r="C364" s="8" t="s">
        <v>20</v>
      </c>
      <c r="D364" s="11" t="s">
        <v>24</v>
      </c>
      <c r="E364" s="7" t="str">
        <f t="shared" si="29"/>
        <v>05030406</v>
      </c>
      <c r="F364" s="1" t="s">
        <v>1223</v>
      </c>
      <c r="G364" s="1" t="str">
        <f t="shared" si="32"/>
        <v>抽屉03</v>
      </c>
      <c r="H364" t="str">
        <f t="shared" si="30"/>
        <v>行号04</v>
      </c>
      <c r="I364" s="1" t="str">
        <f t="shared" si="31"/>
        <v>序号06</v>
      </c>
      <c r="J364" s="38" t="s">
        <v>626</v>
      </c>
      <c r="K364" s="39"/>
      <c r="L364" s="39"/>
      <c r="M364" s="33"/>
      <c r="N364" s="33"/>
      <c r="O364" s="17" t="s">
        <v>1271</v>
      </c>
    </row>
    <row r="365" spans="1:15">
      <c r="A365" s="8" t="s">
        <v>22</v>
      </c>
      <c r="B365" s="9" t="s">
        <v>18</v>
      </c>
      <c r="C365" s="8" t="s">
        <v>20</v>
      </c>
      <c r="D365" s="11" t="s">
        <v>26</v>
      </c>
      <c r="E365" s="7" t="str">
        <f t="shared" si="29"/>
        <v>05030407</v>
      </c>
      <c r="F365" s="1" t="s">
        <v>1223</v>
      </c>
      <c r="G365" s="1" t="str">
        <f t="shared" si="32"/>
        <v>抽屉03</v>
      </c>
      <c r="H365" t="str">
        <f t="shared" si="30"/>
        <v>行号04</v>
      </c>
      <c r="I365" s="1" t="str">
        <f t="shared" si="31"/>
        <v>序号07</v>
      </c>
      <c r="J365" s="38" t="s">
        <v>929</v>
      </c>
      <c r="K365" s="39"/>
      <c r="L365" s="39"/>
      <c r="M365" s="33"/>
      <c r="N365" s="33"/>
      <c r="O365" s="17" t="s">
        <v>1271</v>
      </c>
    </row>
    <row r="366" spans="1:15">
      <c r="A366" s="8" t="s">
        <v>22</v>
      </c>
      <c r="B366" s="9" t="s">
        <v>18</v>
      </c>
      <c r="C366" s="8" t="s">
        <v>20</v>
      </c>
      <c r="D366" s="11" t="s">
        <v>28</v>
      </c>
      <c r="E366" s="7" t="str">
        <f t="shared" si="29"/>
        <v>05030408</v>
      </c>
      <c r="F366" s="1" t="s">
        <v>1223</v>
      </c>
      <c r="G366" s="1" t="str">
        <f t="shared" si="32"/>
        <v>抽屉03</v>
      </c>
      <c r="H366" t="str">
        <f t="shared" si="30"/>
        <v>行号04</v>
      </c>
      <c r="I366" s="1" t="str">
        <f t="shared" si="31"/>
        <v>序号08</v>
      </c>
      <c r="J366" s="38" t="s">
        <v>930</v>
      </c>
      <c r="K366" s="39"/>
      <c r="L366" s="39"/>
      <c r="M366" s="33"/>
      <c r="N366" s="33"/>
      <c r="O366" s="17" t="s">
        <v>1271</v>
      </c>
    </row>
    <row r="367" spans="1:15">
      <c r="A367" s="8" t="s">
        <v>22</v>
      </c>
      <c r="B367" s="8" t="s">
        <v>20</v>
      </c>
      <c r="C367" s="10" t="s">
        <v>18</v>
      </c>
      <c r="D367" s="8" t="s">
        <v>22</v>
      </c>
      <c r="E367" s="7" t="str">
        <f t="shared" si="29"/>
        <v>05040305</v>
      </c>
      <c r="F367" s="1" t="s">
        <v>1223</v>
      </c>
      <c r="G367" s="1" t="str">
        <f t="shared" si="32"/>
        <v>抽屉04</v>
      </c>
      <c r="H367" t="str">
        <f t="shared" si="30"/>
        <v>行号03</v>
      </c>
      <c r="I367" s="1" t="str">
        <f t="shared" si="31"/>
        <v>序号05</v>
      </c>
      <c r="J367" s="38" t="s">
        <v>948</v>
      </c>
      <c r="K367" s="39"/>
      <c r="L367" s="39"/>
      <c r="M367" s="33"/>
      <c r="N367" s="33"/>
      <c r="O367" s="23" t="s">
        <v>1239</v>
      </c>
    </row>
    <row r="368" spans="1:15">
      <c r="A368" s="8" t="s">
        <v>22</v>
      </c>
      <c r="B368" s="8" t="s">
        <v>20</v>
      </c>
      <c r="C368" s="10" t="s">
        <v>18</v>
      </c>
      <c r="D368" s="8" t="s">
        <v>24</v>
      </c>
      <c r="E368" s="7" t="str">
        <f t="shared" si="29"/>
        <v>05040306</v>
      </c>
      <c r="F368" s="1" t="s">
        <v>1223</v>
      </c>
      <c r="G368" s="1" t="str">
        <f t="shared" si="32"/>
        <v>抽屉04</v>
      </c>
      <c r="H368" t="str">
        <f t="shared" si="30"/>
        <v>行号03</v>
      </c>
      <c r="I368" s="1" t="str">
        <f t="shared" si="31"/>
        <v>序号06</v>
      </c>
      <c r="J368" s="38" t="s">
        <v>949</v>
      </c>
      <c r="K368" s="39"/>
      <c r="L368" s="39"/>
      <c r="M368" s="33"/>
      <c r="N368" s="33"/>
      <c r="O368" s="17" t="s">
        <v>1271</v>
      </c>
    </row>
    <row r="369" spans="1:15">
      <c r="A369" s="8" t="s">
        <v>22</v>
      </c>
      <c r="B369" s="8" t="s">
        <v>20</v>
      </c>
      <c r="C369" s="10" t="s">
        <v>18</v>
      </c>
      <c r="D369" s="8" t="s">
        <v>26</v>
      </c>
      <c r="E369" s="7" t="str">
        <f t="shared" si="29"/>
        <v>05040307</v>
      </c>
      <c r="F369" s="1" t="s">
        <v>1223</v>
      </c>
      <c r="G369" s="1" t="str">
        <f t="shared" si="32"/>
        <v>抽屉04</v>
      </c>
      <c r="H369" t="str">
        <f t="shared" si="30"/>
        <v>行号03</v>
      </c>
      <c r="I369" s="1" t="str">
        <f t="shared" si="31"/>
        <v>序号07</v>
      </c>
      <c r="J369" s="38" t="s">
        <v>950</v>
      </c>
      <c r="K369" s="39"/>
      <c r="L369" s="39"/>
      <c r="M369" s="33"/>
      <c r="N369" s="33"/>
      <c r="O369" s="17" t="s">
        <v>1271</v>
      </c>
    </row>
    <row r="370" spans="1:15">
      <c r="A370" s="8" t="s">
        <v>22</v>
      </c>
      <c r="B370" s="8" t="s">
        <v>20</v>
      </c>
      <c r="C370" s="10" t="s">
        <v>18</v>
      </c>
      <c r="D370" s="8" t="s">
        <v>28</v>
      </c>
      <c r="E370" s="7" t="str">
        <f t="shared" si="29"/>
        <v>05040308</v>
      </c>
      <c r="F370" s="1" t="s">
        <v>1223</v>
      </c>
      <c r="G370" s="1" t="str">
        <f t="shared" si="32"/>
        <v>抽屉04</v>
      </c>
      <c r="H370" t="str">
        <f t="shared" si="30"/>
        <v>行号03</v>
      </c>
      <c r="I370" s="1" t="str">
        <f t="shared" si="31"/>
        <v>序号08</v>
      </c>
      <c r="J370" s="38" t="s">
        <v>951</v>
      </c>
      <c r="K370" s="39"/>
      <c r="L370" s="39"/>
      <c r="M370" s="33"/>
      <c r="N370" s="33"/>
      <c r="O370" s="17" t="s">
        <v>1271</v>
      </c>
    </row>
    <row r="371" spans="1:15">
      <c r="A371" s="8" t="s">
        <v>22</v>
      </c>
      <c r="B371" s="8" t="s">
        <v>20</v>
      </c>
      <c r="C371" s="8" t="s">
        <v>20</v>
      </c>
      <c r="D371" s="11" t="s">
        <v>14</v>
      </c>
      <c r="E371" s="7" t="str">
        <f t="shared" si="29"/>
        <v>05040401</v>
      </c>
      <c r="F371" s="1" t="s">
        <v>1223</v>
      </c>
      <c r="G371" s="1" t="str">
        <f t="shared" si="32"/>
        <v>抽屉04</v>
      </c>
      <c r="H371" t="str">
        <f t="shared" si="30"/>
        <v>行号04</v>
      </c>
      <c r="I371" s="1" t="str">
        <f t="shared" si="31"/>
        <v>序号01</v>
      </c>
      <c r="J371" s="38" t="s">
        <v>952</v>
      </c>
      <c r="K371" s="39"/>
      <c r="L371" s="39"/>
      <c r="M371" s="33"/>
      <c r="N371" s="33"/>
      <c r="O371" s="17" t="s">
        <v>1271</v>
      </c>
    </row>
    <row r="372" spans="1:15">
      <c r="A372" s="8" t="s">
        <v>22</v>
      </c>
      <c r="B372" s="8" t="s">
        <v>20</v>
      </c>
      <c r="C372" s="8" t="s">
        <v>20</v>
      </c>
      <c r="D372" s="11" t="s">
        <v>18</v>
      </c>
      <c r="E372" s="7" t="str">
        <f t="shared" si="29"/>
        <v>05040403</v>
      </c>
      <c r="F372" s="1" t="s">
        <v>1223</v>
      </c>
      <c r="G372" s="1" t="str">
        <f t="shared" si="32"/>
        <v>抽屉04</v>
      </c>
      <c r="H372" t="str">
        <f t="shared" si="30"/>
        <v>行号04</v>
      </c>
      <c r="I372" s="1" t="str">
        <f t="shared" si="31"/>
        <v>序号03</v>
      </c>
      <c r="J372" s="38" t="s">
        <v>954</v>
      </c>
      <c r="K372" s="39"/>
      <c r="L372" s="39"/>
      <c r="M372" s="33"/>
      <c r="N372" s="33"/>
      <c r="O372" s="17" t="s">
        <v>1271</v>
      </c>
    </row>
    <row r="373" spans="1:15">
      <c r="A373" s="8" t="s">
        <v>22</v>
      </c>
      <c r="B373" s="8" t="s">
        <v>20</v>
      </c>
      <c r="C373" s="8" t="s">
        <v>20</v>
      </c>
      <c r="D373" s="11" t="s">
        <v>20</v>
      </c>
      <c r="E373" s="7" t="str">
        <f t="shared" si="29"/>
        <v>05040404</v>
      </c>
      <c r="F373" s="1" t="s">
        <v>1223</v>
      </c>
      <c r="G373" s="1" t="str">
        <f t="shared" si="32"/>
        <v>抽屉04</v>
      </c>
      <c r="H373" t="str">
        <f t="shared" si="30"/>
        <v>行号04</v>
      </c>
      <c r="I373" s="1" t="str">
        <f t="shared" si="31"/>
        <v>序号04</v>
      </c>
      <c r="J373" s="38" t="s">
        <v>954</v>
      </c>
      <c r="K373" s="39"/>
      <c r="L373" s="39"/>
      <c r="M373" s="33"/>
      <c r="N373" s="33"/>
      <c r="O373" s="17" t="s">
        <v>1271</v>
      </c>
    </row>
    <row r="374" spans="1:15">
      <c r="A374" s="8" t="s">
        <v>22</v>
      </c>
      <c r="B374" s="8" t="s">
        <v>20</v>
      </c>
      <c r="C374" s="8" t="s">
        <v>20</v>
      </c>
      <c r="D374" s="11" t="s">
        <v>22</v>
      </c>
      <c r="E374" s="7" t="str">
        <f t="shared" si="29"/>
        <v>05040405</v>
      </c>
      <c r="F374" s="1" t="s">
        <v>1223</v>
      </c>
      <c r="G374" s="1" t="str">
        <f t="shared" si="32"/>
        <v>抽屉04</v>
      </c>
      <c r="H374" t="str">
        <f t="shared" si="30"/>
        <v>行号04</v>
      </c>
      <c r="I374" s="1" t="str">
        <f t="shared" si="31"/>
        <v>序号05</v>
      </c>
      <c r="J374" s="38" t="s">
        <v>955</v>
      </c>
      <c r="K374" s="39"/>
      <c r="L374" s="39"/>
      <c r="M374" s="33"/>
      <c r="N374" s="33"/>
      <c r="O374" s="17" t="s">
        <v>1271</v>
      </c>
    </row>
    <row r="375" spans="1:15">
      <c r="A375" s="8" t="s">
        <v>22</v>
      </c>
      <c r="B375" s="8" t="s">
        <v>20</v>
      </c>
      <c r="C375" s="8" t="s">
        <v>20</v>
      </c>
      <c r="D375" s="11" t="s">
        <v>24</v>
      </c>
      <c r="E375" s="7" t="str">
        <f t="shared" si="29"/>
        <v>05040406</v>
      </c>
      <c r="F375" s="1" t="s">
        <v>1223</v>
      </c>
      <c r="G375" s="1" t="str">
        <f t="shared" si="32"/>
        <v>抽屉04</v>
      </c>
      <c r="H375" t="str">
        <f t="shared" si="30"/>
        <v>行号04</v>
      </c>
      <c r="I375" s="1" t="str">
        <f t="shared" si="31"/>
        <v>序号06</v>
      </c>
      <c r="J375" s="38" t="s">
        <v>956</v>
      </c>
      <c r="K375" s="39"/>
      <c r="L375" s="39"/>
      <c r="M375" s="33"/>
      <c r="N375" s="33"/>
      <c r="O375" s="17" t="s">
        <v>1271</v>
      </c>
    </row>
    <row r="376" spans="1:15">
      <c r="A376" s="8" t="s">
        <v>22</v>
      </c>
      <c r="B376" s="8" t="s">
        <v>20</v>
      </c>
      <c r="C376" s="8" t="s">
        <v>20</v>
      </c>
      <c r="D376" s="11" t="s">
        <v>26</v>
      </c>
      <c r="E376" s="7" t="str">
        <f t="shared" si="29"/>
        <v>05040407</v>
      </c>
      <c r="F376" s="1" t="s">
        <v>1223</v>
      </c>
      <c r="G376" s="1" t="str">
        <f t="shared" si="32"/>
        <v>抽屉04</v>
      </c>
      <c r="H376" t="str">
        <f t="shared" si="30"/>
        <v>行号04</v>
      </c>
      <c r="I376" s="1" t="str">
        <f t="shared" si="31"/>
        <v>序号07</v>
      </c>
      <c r="J376" s="24" t="s">
        <v>957</v>
      </c>
      <c r="K376" s="39"/>
      <c r="L376" s="39"/>
      <c r="M376" s="33"/>
      <c r="N376" s="33"/>
      <c r="O376" s="17" t="s">
        <v>1271</v>
      </c>
    </row>
    <row r="377" spans="1:15">
      <c r="A377" s="8" t="s">
        <v>22</v>
      </c>
      <c r="B377" s="8" t="s">
        <v>20</v>
      </c>
      <c r="C377" s="8" t="s">
        <v>20</v>
      </c>
      <c r="D377" s="11" t="s">
        <v>28</v>
      </c>
      <c r="E377" s="7" t="str">
        <f t="shared" si="29"/>
        <v>05040408</v>
      </c>
      <c r="F377" s="1" t="s">
        <v>1223</v>
      </c>
      <c r="G377" s="1" t="str">
        <f t="shared" si="32"/>
        <v>抽屉04</v>
      </c>
      <c r="H377" t="str">
        <f t="shared" si="30"/>
        <v>行号04</v>
      </c>
      <c r="I377" s="1" t="str">
        <f t="shared" si="31"/>
        <v>序号08</v>
      </c>
      <c r="J377" s="24"/>
      <c r="K377" s="41"/>
      <c r="L377" s="41"/>
      <c r="M377" s="41">
        <v>0</v>
      </c>
      <c r="N377" s="41">
        <v>0</v>
      </c>
    </row>
    <row r="378" spans="1:15">
      <c r="A378" s="8" t="s">
        <v>22</v>
      </c>
      <c r="B378" s="9" t="s">
        <v>22</v>
      </c>
      <c r="C378" s="10" t="s">
        <v>18</v>
      </c>
      <c r="D378" s="8" t="s">
        <v>18</v>
      </c>
      <c r="E378" s="7" t="str">
        <f t="shared" si="29"/>
        <v>05050303</v>
      </c>
      <c r="F378" s="1" t="s">
        <v>1223</v>
      </c>
      <c r="G378" s="1" t="str">
        <f t="shared" si="32"/>
        <v>抽屉05</v>
      </c>
      <c r="H378" t="str">
        <f t="shared" si="30"/>
        <v>行号03</v>
      </c>
      <c r="I378" s="1" t="str">
        <f t="shared" si="31"/>
        <v>序号03</v>
      </c>
      <c r="J378" s="38" t="s">
        <v>970</v>
      </c>
      <c r="K378" s="39"/>
      <c r="L378" s="39"/>
      <c r="M378" s="33"/>
      <c r="N378" s="33"/>
      <c r="O378" s="17" t="s">
        <v>1271</v>
      </c>
    </row>
    <row r="379" spans="1:15">
      <c r="A379" s="8" t="s">
        <v>22</v>
      </c>
      <c r="B379" s="9" t="s">
        <v>22</v>
      </c>
      <c r="C379" s="10" t="s">
        <v>18</v>
      </c>
      <c r="D379" s="8" t="s">
        <v>20</v>
      </c>
      <c r="E379" s="7" t="str">
        <f t="shared" si="29"/>
        <v>05050304</v>
      </c>
      <c r="F379" s="1" t="s">
        <v>1223</v>
      </c>
      <c r="G379" s="1" t="str">
        <f t="shared" si="32"/>
        <v>抽屉05</v>
      </c>
      <c r="H379" t="str">
        <f t="shared" si="30"/>
        <v>行号03</v>
      </c>
      <c r="I379" s="1" t="str">
        <f t="shared" si="31"/>
        <v>序号04</v>
      </c>
      <c r="J379" s="38" t="s">
        <v>971</v>
      </c>
      <c r="K379" s="39"/>
      <c r="L379" s="39"/>
      <c r="M379" s="33"/>
      <c r="N379" s="33"/>
      <c r="O379" s="17" t="s">
        <v>1271</v>
      </c>
    </row>
    <row r="380" spans="1:15">
      <c r="A380" s="8" t="s">
        <v>22</v>
      </c>
      <c r="B380" s="9" t="s">
        <v>22</v>
      </c>
      <c r="C380" s="10" t="s">
        <v>18</v>
      </c>
      <c r="D380" s="8" t="s">
        <v>22</v>
      </c>
      <c r="E380" s="7" t="str">
        <f t="shared" si="29"/>
        <v>05050305</v>
      </c>
      <c r="F380" s="1" t="s">
        <v>1223</v>
      </c>
      <c r="G380" s="1" t="str">
        <f t="shared" si="32"/>
        <v>抽屉05</v>
      </c>
      <c r="H380" t="str">
        <f t="shared" si="30"/>
        <v>行号03</v>
      </c>
      <c r="I380" s="1" t="str">
        <f t="shared" si="31"/>
        <v>序号05</v>
      </c>
      <c r="J380" s="38" t="s">
        <v>972</v>
      </c>
      <c r="K380" s="39"/>
      <c r="L380" s="39"/>
      <c r="M380" s="33"/>
      <c r="N380" s="33"/>
      <c r="O380" s="17" t="s">
        <v>1271</v>
      </c>
    </row>
    <row r="381" spans="1:15">
      <c r="A381" s="8" t="s">
        <v>22</v>
      </c>
      <c r="B381" s="9" t="s">
        <v>22</v>
      </c>
      <c r="C381" s="10" t="s">
        <v>18</v>
      </c>
      <c r="D381" s="8" t="s">
        <v>24</v>
      </c>
      <c r="E381" s="7" t="str">
        <f t="shared" si="29"/>
        <v>05050306</v>
      </c>
      <c r="F381" s="1" t="s">
        <v>1223</v>
      </c>
      <c r="G381" s="1" t="str">
        <f t="shared" si="32"/>
        <v>抽屉05</v>
      </c>
      <c r="H381" t="str">
        <f t="shared" si="30"/>
        <v>行号03</v>
      </c>
      <c r="I381" s="1" t="str">
        <f t="shared" si="31"/>
        <v>序号06</v>
      </c>
      <c r="J381" s="24" t="s">
        <v>973</v>
      </c>
      <c r="K381" s="39"/>
      <c r="L381" s="39"/>
      <c r="M381" s="33"/>
      <c r="N381" s="33"/>
      <c r="O381" s="17" t="s">
        <v>1271</v>
      </c>
    </row>
    <row r="382" spans="1:15">
      <c r="A382" s="8" t="s">
        <v>22</v>
      </c>
      <c r="B382" s="9" t="s">
        <v>22</v>
      </c>
      <c r="C382" s="10" t="s">
        <v>18</v>
      </c>
      <c r="D382" s="8" t="s">
        <v>26</v>
      </c>
      <c r="E382" s="7" t="str">
        <f t="shared" si="29"/>
        <v>05050307</v>
      </c>
      <c r="F382" s="1" t="s">
        <v>1223</v>
      </c>
      <c r="G382" s="1" t="str">
        <f t="shared" si="32"/>
        <v>抽屉05</v>
      </c>
      <c r="H382" t="str">
        <f t="shared" si="30"/>
        <v>行号03</v>
      </c>
      <c r="I382" s="1" t="str">
        <f t="shared" si="31"/>
        <v>序号07</v>
      </c>
      <c r="J382" s="24" t="s">
        <v>974</v>
      </c>
      <c r="K382" s="39"/>
      <c r="L382" s="39"/>
      <c r="M382" s="33"/>
      <c r="N382" s="33"/>
      <c r="O382" s="17" t="s">
        <v>1271</v>
      </c>
    </row>
    <row r="383" spans="1:15">
      <c r="A383" s="8" t="s">
        <v>22</v>
      </c>
      <c r="B383" s="9" t="s">
        <v>22</v>
      </c>
      <c r="C383" s="10" t="s">
        <v>18</v>
      </c>
      <c r="D383" s="8" t="s">
        <v>28</v>
      </c>
      <c r="E383" s="7" t="str">
        <f t="shared" si="29"/>
        <v>05050308</v>
      </c>
      <c r="F383" s="1" t="s">
        <v>1223</v>
      </c>
      <c r="G383" s="1" t="str">
        <f t="shared" si="32"/>
        <v>抽屉05</v>
      </c>
      <c r="H383" t="str">
        <f t="shared" si="30"/>
        <v>行号03</v>
      </c>
      <c r="I383" s="1" t="str">
        <f t="shared" si="31"/>
        <v>序号08</v>
      </c>
      <c r="J383" s="24"/>
      <c r="K383" s="41"/>
      <c r="L383" s="41"/>
      <c r="M383" s="41">
        <v>0</v>
      </c>
      <c r="N383" s="41">
        <v>0</v>
      </c>
    </row>
    <row r="384" spans="1:15">
      <c r="A384" s="8" t="s">
        <v>22</v>
      </c>
      <c r="B384" s="9" t="s">
        <v>22</v>
      </c>
      <c r="C384" s="8" t="s">
        <v>20</v>
      </c>
      <c r="D384" s="11" t="s">
        <v>14</v>
      </c>
      <c r="E384" s="7" t="str">
        <f t="shared" si="29"/>
        <v>05050401</v>
      </c>
      <c r="F384" s="1" t="s">
        <v>1223</v>
      </c>
      <c r="G384" s="1" t="str">
        <f t="shared" si="32"/>
        <v>抽屉05</v>
      </c>
      <c r="H384" t="str">
        <f t="shared" si="30"/>
        <v>行号04</v>
      </c>
      <c r="I384" s="1" t="str">
        <f t="shared" si="31"/>
        <v>序号01</v>
      </c>
      <c r="J384" s="24" t="s">
        <v>975</v>
      </c>
      <c r="K384" s="39"/>
      <c r="L384" s="39"/>
      <c r="M384" s="33"/>
      <c r="N384" s="33"/>
      <c r="O384" s="17" t="s">
        <v>1271</v>
      </c>
    </row>
    <row r="385" spans="1:15">
      <c r="A385" s="8" t="s">
        <v>22</v>
      </c>
      <c r="B385" s="9" t="s">
        <v>22</v>
      </c>
      <c r="C385" s="8" t="s">
        <v>20</v>
      </c>
      <c r="D385" s="11" t="s">
        <v>16</v>
      </c>
      <c r="E385" s="7" t="str">
        <f t="shared" si="29"/>
        <v>05050402</v>
      </c>
      <c r="F385" s="1" t="s">
        <v>1223</v>
      </c>
      <c r="G385" s="1" t="str">
        <f t="shared" si="32"/>
        <v>抽屉05</v>
      </c>
      <c r="H385" t="str">
        <f t="shared" si="30"/>
        <v>行号04</v>
      </c>
      <c r="I385" s="1" t="str">
        <f t="shared" si="31"/>
        <v>序号02</v>
      </c>
      <c r="J385" s="24" t="s">
        <v>976</v>
      </c>
      <c r="K385" s="39"/>
      <c r="L385" s="39"/>
      <c r="M385" s="33"/>
      <c r="N385" s="33"/>
      <c r="O385" s="17" t="s">
        <v>1271</v>
      </c>
    </row>
    <row r="386" spans="1:15">
      <c r="A386" s="8" t="s">
        <v>22</v>
      </c>
      <c r="B386" s="9" t="s">
        <v>22</v>
      </c>
      <c r="C386" s="8" t="s">
        <v>20</v>
      </c>
      <c r="D386" s="11" t="s">
        <v>18</v>
      </c>
      <c r="E386" s="7" t="str">
        <f t="shared" ref="E386:E449" si="33">A386&amp;B386&amp;C386&amp;D386</f>
        <v>05050403</v>
      </c>
      <c r="F386" s="1" t="s">
        <v>1223</v>
      </c>
      <c r="G386" s="1" t="str">
        <f t="shared" ref="G386:G449" si="34">"抽屉"&amp;B386</f>
        <v>抽屉05</v>
      </c>
      <c r="H386" t="str">
        <f t="shared" ref="H386:H449" si="35">"行号"&amp;C386</f>
        <v>行号04</v>
      </c>
      <c r="I386" s="1" t="str">
        <f t="shared" ref="I386:I449" si="36">"序号"&amp;D386</f>
        <v>序号03</v>
      </c>
      <c r="J386" s="38" t="s">
        <v>977</v>
      </c>
      <c r="K386" s="39"/>
      <c r="L386" s="39"/>
      <c r="M386" s="33"/>
      <c r="N386" s="33"/>
      <c r="O386" s="17" t="s">
        <v>1271</v>
      </c>
    </row>
    <row r="387" spans="1:15">
      <c r="A387" s="8" t="s">
        <v>22</v>
      </c>
      <c r="B387" s="9" t="s">
        <v>22</v>
      </c>
      <c r="C387" s="8" t="s">
        <v>20</v>
      </c>
      <c r="D387" s="11" t="s">
        <v>20</v>
      </c>
      <c r="E387" s="7" t="str">
        <f t="shared" si="33"/>
        <v>05050404</v>
      </c>
      <c r="F387" s="1" t="s">
        <v>1223</v>
      </c>
      <c r="G387" s="1" t="str">
        <f t="shared" si="34"/>
        <v>抽屉05</v>
      </c>
      <c r="H387" t="str">
        <f t="shared" si="35"/>
        <v>行号04</v>
      </c>
      <c r="I387" s="1" t="str">
        <f t="shared" si="36"/>
        <v>序号04</v>
      </c>
      <c r="J387" s="38" t="s">
        <v>978</v>
      </c>
      <c r="K387" s="39"/>
      <c r="L387" s="39"/>
      <c r="M387" s="33"/>
      <c r="N387" s="33"/>
      <c r="O387" s="23" t="s">
        <v>1234</v>
      </c>
    </row>
    <row r="388" spans="1:15">
      <c r="A388" s="8" t="s">
        <v>22</v>
      </c>
      <c r="B388" s="8" t="s">
        <v>24</v>
      </c>
      <c r="C388" s="8" t="s">
        <v>16</v>
      </c>
      <c r="D388" s="11" t="s">
        <v>16</v>
      </c>
      <c r="E388" s="7" t="str">
        <f t="shared" si="33"/>
        <v>05060202</v>
      </c>
      <c r="F388" s="1" t="s">
        <v>1223</v>
      </c>
      <c r="G388" s="1" t="str">
        <f t="shared" si="34"/>
        <v>抽屉06</v>
      </c>
      <c r="H388" t="str">
        <f t="shared" si="35"/>
        <v>行号02</v>
      </c>
      <c r="I388" s="1" t="str">
        <f t="shared" si="36"/>
        <v>序号02</v>
      </c>
      <c r="J388" s="38" t="s">
        <v>988</v>
      </c>
      <c r="K388" s="39"/>
      <c r="L388" s="39"/>
      <c r="M388" s="33"/>
      <c r="N388" s="33"/>
      <c r="O388" s="17" t="s">
        <v>1271</v>
      </c>
    </row>
    <row r="389" spans="1:15">
      <c r="A389" s="8" t="s">
        <v>22</v>
      </c>
      <c r="B389" s="8" t="s">
        <v>24</v>
      </c>
      <c r="C389" s="8" t="s">
        <v>16</v>
      </c>
      <c r="D389" s="11" t="s">
        <v>18</v>
      </c>
      <c r="E389" s="7" t="str">
        <f t="shared" si="33"/>
        <v>05060203</v>
      </c>
      <c r="F389" s="1" t="s">
        <v>1223</v>
      </c>
      <c r="G389" s="1" t="str">
        <f t="shared" si="34"/>
        <v>抽屉06</v>
      </c>
      <c r="H389" t="str">
        <f t="shared" si="35"/>
        <v>行号02</v>
      </c>
      <c r="I389" s="1" t="str">
        <f t="shared" si="36"/>
        <v>序号03</v>
      </c>
      <c r="J389" s="38" t="s">
        <v>989</v>
      </c>
      <c r="K389" s="39"/>
      <c r="L389" s="39"/>
      <c r="M389" s="33"/>
      <c r="N389" s="33"/>
      <c r="O389" s="17" t="s">
        <v>1271</v>
      </c>
    </row>
    <row r="390" spans="1:15">
      <c r="A390" s="8" t="s">
        <v>22</v>
      </c>
      <c r="B390" s="8" t="s">
        <v>24</v>
      </c>
      <c r="C390" s="8" t="s">
        <v>16</v>
      </c>
      <c r="D390" s="11" t="s">
        <v>20</v>
      </c>
      <c r="E390" s="7" t="str">
        <f t="shared" si="33"/>
        <v>05060204</v>
      </c>
      <c r="F390" s="1" t="s">
        <v>1223</v>
      </c>
      <c r="G390" s="1" t="str">
        <f t="shared" si="34"/>
        <v>抽屉06</v>
      </c>
      <c r="H390" t="str">
        <f t="shared" si="35"/>
        <v>行号02</v>
      </c>
      <c r="I390" s="1" t="str">
        <f t="shared" si="36"/>
        <v>序号04</v>
      </c>
      <c r="J390" s="38" t="s">
        <v>990</v>
      </c>
      <c r="K390" s="39"/>
      <c r="L390" s="39"/>
      <c r="M390" s="33"/>
      <c r="N390" s="33"/>
      <c r="O390" s="17" t="s">
        <v>1271</v>
      </c>
    </row>
    <row r="391" spans="1:15">
      <c r="A391" s="8" t="s">
        <v>22</v>
      </c>
      <c r="B391" s="8" t="s">
        <v>24</v>
      </c>
      <c r="C391" s="8" t="s">
        <v>16</v>
      </c>
      <c r="D391" s="11" t="s">
        <v>22</v>
      </c>
      <c r="E391" s="7" t="str">
        <f t="shared" si="33"/>
        <v>05060205</v>
      </c>
      <c r="F391" s="1" t="s">
        <v>1223</v>
      </c>
      <c r="G391" s="1" t="str">
        <f t="shared" si="34"/>
        <v>抽屉06</v>
      </c>
      <c r="H391" t="str">
        <f t="shared" si="35"/>
        <v>行号02</v>
      </c>
      <c r="I391" s="1" t="str">
        <f t="shared" si="36"/>
        <v>序号05</v>
      </c>
      <c r="J391" s="38" t="s">
        <v>991</v>
      </c>
      <c r="K391" s="39"/>
      <c r="L391" s="39"/>
      <c r="M391" s="33"/>
      <c r="N391" s="33"/>
      <c r="O391" s="17" t="s">
        <v>1271</v>
      </c>
    </row>
    <row r="392" spans="1:15">
      <c r="A392" s="8" t="s">
        <v>22</v>
      </c>
      <c r="B392" s="8" t="s">
        <v>24</v>
      </c>
      <c r="C392" s="8" t="s">
        <v>16</v>
      </c>
      <c r="D392" s="11" t="s">
        <v>24</v>
      </c>
      <c r="E392" s="7" t="str">
        <f t="shared" si="33"/>
        <v>05060206</v>
      </c>
      <c r="F392" s="1" t="s">
        <v>1223</v>
      </c>
      <c r="G392" s="1" t="str">
        <f t="shared" si="34"/>
        <v>抽屉06</v>
      </c>
      <c r="H392" t="str">
        <f t="shared" si="35"/>
        <v>行号02</v>
      </c>
      <c r="I392" s="1" t="str">
        <f t="shared" si="36"/>
        <v>序号06</v>
      </c>
      <c r="J392" s="38" t="s">
        <v>992</v>
      </c>
      <c r="K392" s="39"/>
      <c r="L392" s="39"/>
      <c r="M392" s="33"/>
      <c r="N392" s="33"/>
      <c r="O392" s="17" t="s">
        <v>1271</v>
      </c>
    </row>
    <row r="393" spans="1:15">
      <c r="A393" s="8" t="s">
        <v>22</v>
      </c>
      <c r="B393" s="8" t="s">
        <v>24</v>
      </c>
      <c r="C393" s="8" t="s">
        <v>16</v>
      </c>
      <c r="D393" s="11" t="s">
        <v>26</v>
      </c>
      <c r="E393" s="7" t="str">
        <f t="shared" si="33"/>
        <v>05060207</v>
      </c>
      <c r="F393" s="1" t="s">
        <v>1223</v>
      </c>
      <c r="G393" s="1" t="str">
        <f t="shared" si="34"/>
        <v>抽屉06</v>
      </c>
      <c r="H393" t="str">
        <f t="shared" si="35"/>
        <v>行号02</v>
      </c>
      <c r="I393" s="1" t="str">
        <f t="shared" si="36"/>
        <v>序号07</v>
      </c>
      <c r="J393" s="38" t="s">
        <v>903</v>
      </c>
      <c r="K393" s="39"/>
      <c r="L393" s="39"/>
      <c r="M393" s="33"/>
      <c r="N393" s="33"/>
    </row>
    <row r="394" spans="1:15">
      <c r="A394" s="8" t="s">
        <v>22</v>
      </c>
      <c r="B394" s="8" t="s">
        <v>24</v>
      </c>
      <c r="C394" s="8" t="s">
        <v>16</v>
      </c>
      <c r="D394" s="11" t="s">
        <v>28</v>
      </c>
      <c r="E394" s="7" t="str">
        <f t="shared" si="33"/>
        <v>05060208</v>
      </c>
      <c r="F394" s="1" t="s">
        <v>1223</v>
      </c>
      <c r="G394" s="1" t="str">
        <f t="shared" si="34"/>
        <v>抽屉06</v>
      </c>
      <c r="H394" t="str">
        <f t="shared" si="35"/>
        <v>行号02</v>
      </c>
      <c r="I394" s="1" t="str">
        <f t="shared" si="36"/>
        <v>序号08</v>
      </c>
      <c r="J394" s="38"/>
      <c r="K394" s="41"/>
      <c r="L394" s="41"/>
      <c r="M394" s="41">
        <v>0</v>
      </c>
      <c r="N394" s="41">
        <v>0</v>
      </c>
    </row>
    <row r="395" spans="1:15">
      <c r="A395" s="8" t="s">
        <v>22</v>
      </c>
      <c r="B395" s="8" t="s">
        <v>24</v>
      </c>
      <c r="C395" s="10" t="s">
        <v>18</v>
      </c>
      <c r="D395" s="8" t="s">
        <v>14</v>
      </c>
      <c r="E395" s="7" t="str">
        <f t="shared" si="33"/>
        <v>05060301</v>
      </c>
      <c r="F395" s="1" t="s">
        <v>1223</v>
      </c>
      <c r="G395" s="1" t="str">
        <f t="shared" si="34"/>
        <v>抽屉06</v>
      </c>
      <c r="H395" t="str">
        <f t="shared" si="35"/>
        <v>行号03</v>
      </c>
      <c r="I395" s="1" t="str">
        <f t="shared" si="36"/>
        <v>序号01</v>
      </c>
      <c r="J395" s="38" t="s">
        <v>993</v>
      </c>
      <c r="K395" s="39"/>
      <c r="L395" s="39"/>
      <c r="M395" s="33"/>
      <c r="N395" s="33"/>
      <c r="O395" s="17" t="s">
        <v>1271</v>
      </c>
    </row>
    <row r="396" spans="1:15">
      <c r="A396" s="8" t="s">
        <v>22</v>
      </c>
      <c r="B396" s="8" t="s">
        <v>24</v>
      </c>
      <c r="C396" s="10" t="s">
        <v>18</v>
      </c>
      <c r="D396" s="8" t="s">
        <v>16</v>
      </c>
      <c r="E396" s="7" t="str">
        <f t="shared" si="33"/>
        <v>05060302</v>
      </c>
      <c r="F396" s="1" t="s">
        <v>1223</v>
      </c>
      <c r="G396" s="1" t="str">
        <f t="shared" si="34"/>
        <v>抽屉06</v>
      </c>
      <c r="H396" t="str">
        <f t="shared" si="35"/>
        <v>行号03</v>
      </c>
      <c r="I396" s="1" t="str">
        <f t="shared" si="36"/>
        <v>序号02</v>
      </c>
      <c r="J396" s="38" t="s">
        <v>994</v>
      </c>
      <c r="K396" s="39"/>
      <c r="L396" s="39"/>
      <c r="M396" s="33"/>
      <c r="N396" s="33"/>
      <c r="O396" s="17" t="s">
        <v>1271</v>
      </c>
    </row>
    <row r="397" spans="1:15">
      <c r="A397" s="8" t="s">
        <v>22</v>
      </c>
      <c r="B397" s="8" t="s">
        <v>24</v>
      </c>
      <c r="C397" s="10" t="s">
        <v>18</v>
      </c>
      <c r="D397" s="8" t="s">
        <v>18</v>
      </c>
      <c r="E397" s="7" t="str">
        <f t="shared" si="33"/>
        <v>05060303</v>
      </c>
      <c r="F397" s="1" t="s">
        <v>1223</v>
      </c>
      <c r="G397" s="1" t="str">
        <f t="shared" si="34"/>
        <v>抽屉06</v>
      </c>
      <c r="H397" t="str">
        <f t="shared" si="35"/>
        <v>行号03</v>
      </c>
      <c r="I397" s="1" t="str">
        <f t="shared" si="36"/>
        <v>序号03</v>
      </c>
      <c r="J397" s="38" t="s">
        <v>995</v>
      </c>
      <c r="K397" s="39"/>
      <c r="L397" s="39"/>
      <c r="M397" s="33"/>
      <c r="N397" s="33"/>
      <c r="O397" s="17" t="s">
        <v>1271</v>
      </c>
    </row>
    <row r="398" spans="1:15">
      <c r="A398" s="8" t="s">
        <v>22</v>
      </c>
      <c r="B398" s="8" t="s">
        <v>24</v>
      </c>
      <c r="C398" s="10" t="s">
        <v>18</v>
      </c>
      <c r="D398" s="8" t="s">
        <v>20</v>
      </c>
      <c r="E398" s="7" t="str">
        <f t="shared" si="33"/>
        <v>05060304</v>
      </c>
      <c r="F398" s="1" t="s">
        <v>1223</v>
      </c>
      <c r="G398" s="1" t="str">
        <f t="shared" si="34"/>
        <v>抽屉06</v>
      </c>
      <c r="H398" t="str">
        <f t="shared" si="35"/>
        <v>行号03</v>
      </c>
      <c r="I398" s="1" t="str">
        <f t="shared" si="36"/>
        <v>序号04</v>
      </c>
      <c r="J398" s="38" t="s">
        <v>996</v>
      </c>
      <c r="K398" s="39"/>
      <c r="L398" s="39"/>
      <c r="M398" s="33"/>
      <c r="N398" s="33"/>
      <c r="O398" s="17" t="s">
        <v>1271</v>
      </c>
    </row>
    <row r="399" spans="1:15">
      <c r="A399" s="8" t="s">
        <v>22</v>
      </c>
      <c r="B399" s="8" t="s">
        <v>24</v>
      </c>
      <c r="C399" s="10" t="s">
        <v>18</v>
      </c>
      <c r="D399" s="8" t="s">
        <v>22</v>
      </c>
      <c r="E399" s="7" t="str">
        <f t="shared" si="33"/>
        <v>05060305</v>
      </c>
      <c r="F399" s="1" t="s">
        <v>1223</v>
      </c>
      <c r="G399" s="1" t="str">
        <f t="shared" si="34"/>
        <v>抽屉06</v>
      </c>
      <c r="H399" t="str">
        <f t="shared" si="35"/>
        <v>行号03</v>
      </c>
      <c r="I399" s="1" t="str">
        <f t="shared" si="36"/>
        <v>序号05</v>
      </c>
      <c r="J399" s="38" t="s">
        <v>997</v>
      </c>
      <c r="K399" s="39"/>
      <c r="L399" s="39"/>
      <c r="M399" s="33"/>
      <c r="N399" s="33"/>
      <c r="O399" s="17" t="s">
        <v>1271</v>
      </c>
    </row>
    <row r="400" spans="1:15">
      <c r="A400" s="8" t="s">
        <v>22</v>
      </c>
      <c r="B400" s="8" t="s">
        <v>24</v>
      </c>
      <c r="C400" s="10" t="s">
        <v>18</v>
      </c>
      <c r="D400" s="8" t="s">
        <v>24</v>
      </c>
      <c r="E400" s="7" t="str">
        <f t="shared" si="33"/>
        <v>05060306</v>
      </c>
      <c r="F400" s="1" t="s">
        <v>1223</v>
      </c>
      <c r="G400" s="1" t="str">
        <f t="shared" si="34"/>
        <v>抽屉06</v>
      </c>
      <c r="H400" t="str">
        <f t="shared" si="35"/>
        <v>行号03</v>
      </c>
      <c r="I400" s="1" t="str">
        <f t="shared" si="36"/>
        <v>序号06</v>
      </c>
      <c r="J400" s="38" t="s">
        <v>998</v>
      </c>
      <c r="K400" s="39"/>
      <c r="L400" s="39"/>
      <c r="M400" s="33"/>
      <c r="N400" s="33"/>
      <c r="O400" s="17" t="s">
        <v>1271</v>
      </c>
    </row>
    <row r="401" spans="1:15">
      <c r="A401" s="8" t="s">
        <v>22</v>
      </c>
      <c r="B401" s="8" t="s">
        <v>24</v>
      </c>
      <c r="C401" s="10" t="s">
        <v>18</v>
      </c>
      <c r="D401" s="8" t="s">
        <v>26</v>
      </c>
      <c r="E401" s="7" t="str">
        <f t="shared" si="33"/>
        <v>05060307</v>
      </c>
      <c r="F401" s="1" t="s">
        <v>1223</v>
      </c>
      <c r="G401" s="1" t="str">
        <f t="shared" si="34"/>
        <v>抽屉06</v>
      </c>
      <c r="H401" t="str">
        <f t="shared" si="35"/>
        <v>行号03</v>
      </c>
      <c r="I401" s="1" t="str">
        <f t="shared" si="36"/>
        <v>序号07</v>
      </c>
      <c r="J401" s="38" t="s">
        <v>999</v>
      </c>
      <c r="K401" s="39"/>
      <c r="L401" s="39"/>
      <c r="M401" s="33"/>
      <c r="N401" s="33"/>
      <c r="O401" s="23" t="s">
        <v>1239</v>
      </c>
    </row>
    <row r="402" spans="1:15">
      <c r="A402" s="8" t="s">
        <v>22</v>
      </c>
      <c r="B402" s="8" t="s">
        <v>24</v>
      </c>
      <c r="C402" s="10" t="s">
        <v>18</v>
      </c>
      <c r="D402" s="8" t="s">
        <v>28</v>
      </c>
      <c r="E402" s="7" t="str">
        <f t="shared" si="33"/>
        <v>05060308</v>
      </c>
      <c r="F402" s="1" t="s">
        <v>1223</v>
      </c>
      <c r="G402" s="1" t="str">
        <f t="shared" si="34"/>
        <v>抽屉06</v>
      </c>
      <c r="H402" t="str">
        <f t="shared" si="35"/>
        <v>行号03</v>
      </c>
      <c r="I402" s="1" t="str">
        <f t="shared" si="36"/>
        <v>序号08</v>
      </c>
      <c r="J402" s="38" t="s">
        <v>1000</v>
      </c>
      <c r="K402" s="39"/>
      <c r="L402" s="39"/>
      <c r="M402" s="33"/>
      <c r="N402" s="33"/>
      <c r="O402" s="17" t="s">
        <v>1271</v>
      </c>
    </row>
    <row r="403" spans="1:15">
      <c r="A403" s="8" t="s">
        <v>22</v>
      </c>
      <c r="B403" s="8" t="s">
        <v>24</v>
      </c>
      <c r="C403" s="8" t="s">
        <v>20</v>
      </c>
      <c r="D403" s="11" t="s">
        <v>14</v>
      </c>
      <c r="E403" s="7" t="str">
        <f t="shared" si="33"/>
        <v>05060401</v>
      </c>
      <c r="F403" s="1" t="s">
        <v>1223</v>
      </c>
      <c r="G403" s="1" t="str">
        <f t="shared" si="34"/>
        <v>抽屉06</v>
      </c>
      <c r="H403" t="str">
        <f t="shared" si="35"/>
        <v>行号04</v>
      </c>
      <c r="I403" s="1" t="str">
        <f t="shared" si="36"/>
        <v>序号01</v>
      </c>
      <c r="J403" s="38" t="s">
        <v>1001</v>
      </c>
      <c r="K403" s="39"/>
      <c r="L403" s="39"/>
      <c r="M403" s="33"/>
      <c r="N403" s="33"/>
      <c r="O403" s="23" t="s">
        <v>1234</v>
      </c>
    </row>
    <row r="404" spans="1:15">
      <c r="A404" s="8" t="s">
        <v>22</v>
      </c>
      <c r="B404" s="9" t="s">
        <v>26</v>
      </c>
      <c r="C404" s="10" t="s">
        <v>14</v>
      </c>
      <c r="D404" s="8" t="s">
        <v>14</v>
      </c>
      <c r="E404" s="7" t="str">
        <f t="shared" si="33"/>
        <v>05070101</v>
      </c>
      <c r="F404" s="1" t="s">
        <v>1223</v>
      </c>
      <c r="G404" s="1" t="str">
        <f t="shared" si="34"/>
        <v>抽屉07</v>
      </c>
      <c r="H404" t="str">
        <f t="shared" si="35"/>
        <v>行号01</v>
      </c>
      <c r="I404" s="1" t="str">
        <f t="shared" si="36"/>
        <v>序号01</v>
      </c>
      <c r="J404" s="38" t="s">
        <v>1002</v>
      </c>
      <c r="K404" s="39"/>
      <c r="L404" s="39"/>
      <c r="M404" s="33"/>
      <c r="N404" s="33"/>
      <c r="O404" s="17" t="s">
        <v>1271</v>
      </c>
    </row>
    <row r="405" spans="1:15">
      <c r="A405" s="8" t="s">
        <v>22</v>
      </c>
      <c r="B405" s="9" t="s">
        <v>26</v>
      </c>
      <c r="C405" s="10" t="s">
        <v>14</v>
      </c>
      <c r="D405" s="8" t="s">
        <v>20</v>
      </c>
      <c r="E405" s="7" t="str">
        <f t="shared" si="33"/>
        <v>05070104</v>
      </c>
      <c r="F405" s="1" t="s">
        <v>1223</v>
      </c>
      <c r="G405" s="1" t="str">
        <f t="shared" si="34"/>
        <v>抽屉07</v>
      </c>
      <c r="H405" t="str">
        <f t="shared" si="35"/>
        <v>行号01</v>
      </c>
      <c r="I405" s="1" t="str">
        <f t="shared" si="36"/>
        <v>序号04</v>
      </c>
      <c r="J405" s="38" t="s">
        <v>1004</v>
      </c>
      <c r="K405" s="39"/>
      <c r="L405" s="39"/>
      <c r="M405" s="33"/>
      <c r="N405" s="33"/>
      <c r="O405" s="17" t="s">
        <v>1271</v>
      </c>
    </row>
    <row r="406" spans="1:15">
      <c r="A406" s="8" t="s">
        <v>22</v>
      </c>
      <c r="B406" s="8" t="s">
        <v>28</v>
      </c>
      <c r="C406" s="8" t="s">
        <v>16</v>
      </c>
      <c r="D406" s="11" t="s">
        <v>16</v>
      </c>
      <c r="E406" s="7" t="str">
        <f t="shared" si="33"/>
        <v>05080202</v>
      </c>
      <c r="F406" s="1" t="s">
        <v>1223</v>
      </c>
      <c r="G406" s="1" t="str">
        <f t="shared" si="34"/>
        <v>抽屉08</v>
      </c>
      <c r="H406" t="str">
        <f t="shared" si="35"/>
        <v>行号02</v>
      </c>
      <c r="I406" s="1" t="str">
        <f t="shared" si="36"/>
        <v>序号02</v>
      </c>
      <c r="J406" s="38" t="s">
        <v>620</v>
      </c>
      <c r="K406" s="39"/>
      <c r="L406" s="39"/>
      <c r="M406" s="33"/>
      <c r="N406" s="33"/>
      <c r="O406" s="17" t="s">
        <v>1271</v>
      </c>
    </row>
    <row r="407" spans="1:15">
      <c r="A407" s="8" t="s">
        <v>22</v>
      </c>
      <c r="B407" s="8" t="s">
        <v>28</v>
      </c>
      <c r="C407" s="8" t="s">
        <v>16</v>
      </c>
      <c r="D407" s="11" t="s">
        <v>28</v>
      </c>
      <c r="E407" s="7" t="str">
        <f t="shared" si="33"/>
        <v>05080208</v>
      </c>
      <c r="F407" s="1" t="s">
        <v>1223</v>
      </c>
      <c r="G407" s="1" t="str">
        <f t="shared" si="34"/>
        <v>抽屉08</v>
      </c>
      <c r="H407" t="str">
        <f t="shared" si="35"/>
        <v>行号02</v>
      </c>
      <c r="I407" s="1" t="str">
        <f t="shared" si="36"/>
        <v>序号08</v>
      </c>
      <c r="J407" s="38" t="s">
        <v>1023</v>
      </c>
      <c r="K407" s="39"/>
      <c r="L407" s="39"/>
      <c r="M407" s="33"/>
      <c r="N407" s="33"/>
      <c r="O407" s="17" t="s">
        <v>1271</v>
      </c>
    </row>
    <row r="408" spans="1:15">
      <c r="A408" s="8" t="s">
        <v>22</v>
      </c>
      <c r="B408" s="8" t="s">
        <v>28</v>
      </c>
      <c r="C408" s="10" t="s">
        <v>18</v>
      </c>
      <c r="D408" s="8" t="s">
        <v>20</v>
      </c>
      <c r="E408" s="7" t="str">
        <f t="shared" si="33"/>
        <v>05080304</v>
      </c>
      <c r="F408" s="1" t="s">
        <v>1223</v>
      </c>
      <c r="G408" s="1" t="str">
        <f t="shared" si="34"/>
        <v>抽屉08</v>
      </c>
      <c r="H408" t="str">
        <f t="shared" si="35"/>
        <v>行号03</v>
      </c>
      <c r="I408" s="1" t="str">
        <f t="shared" si="36"/>
        <v>序号04</v>
      </c>
      <c r="J408" s="24" t="s">
        <v>1027</v>
      </c>
      <c r="K408" s="39"/>
      <c r="L408" s="39"/>
      <c r="M408" s="33"/>
      <c r="N408" s="33"/>
      <c r="O408" s="23" t="s">
        <v>1248</v>
      </c>
    </row>
    <row r="409" spans="1:15">
      <c r="A409" s="8" t="s">
        <v>22</v>
      </c>
      <c r="B409" s="8" t="s">
        <v>333</v>
      </c>
      <c r="C409" s="10" t="s">
        <v>14</v>
      </c>
      <c r="D409" s="8" t="s">
        <v>14</v>
      </c>
      <c r="E409" s="7" t="str">
        <f t="shared" si="33"/>
        <v>05090101</v>
      </c>
      <c r="F409" s="1" t="s">
        <v>1223</v>
      </c>
      <c r="G409" s="1" t="str">
        <f t="shared" si="34"/>
        <v>抽屉09</v>
      </c>
      <c r="H409" t="str">
        <f t="shared" si="35"/>
        <v>行号01</v>
      </c>
      <c r="I409" s="1" t="str">
        <f t="shared" si="36"/>
        <v>序号01</v>
      </c>
      <c r="J409" s="24" t="s">
        <v>1037</v>
      </c>
      <c r="K409" s="39"/>
      <c r="L409" s="39"/>
      <c r="M409" s="33"/>
      <c r="N409" s="33"/>
      <c r="O409" s="17" t="s">
        <v>1271</v>
      </c>
    </row>
    <row r="410" spans="1:15">
      <c r="A410" s="8" t="s">
        <v>22</v>
      </c>
      <c r="B410" s="8" t="s">
        <v>352</v>
      </c>
      <c r="C410" s="10" t="s">
        <v>14</v>
      </c>
      <c r="D410" s="8" t="s">
        <v>16</v>
      </c>
      <c r="E410" s="7" t="str">
        <f t="shared" si="33"/>
        <v>050100102</v>
      </c>
      <c r="F410" s="1" t="s">
        <v>1223</v>
      </c>
      <c r="G410" s="1" t="str">
        <f t="shared" si="34"/>
        <v>抽屉010</v>
      </c>
      <c r="H410" t="str">
        <f t="shared" si="35"/>
        <v>行号01</v>
      </c>
      <c r="I410" s="1" t="str">
        <f t="shared" si="36"/>
        <v>序号02</v>
      </c>
      <c r="J410" s="38" t="s">
        <v>1043</v>
      </c>
      <c r="K410" s="39"/>
      <c r="L410" s="39"/>
      <c r="M410" s="33"/>
      <c r="N410" s="33"/>
      <c r="O410" s="17" t="s">
        <v>1271</v>
      </c>
    </row>
    <row r="411" spans="1:15">
      <c r="A411" s="8" t="s">
        <v>22</v>
      </c>
      <c r="B411" s="8" t="s">
        <v>352</v>
      </c>
      <c r="C411" s="10" t="s">
        <v>14</v>
      </c>
      <c r="D411" s="8" t="s">
        <v>22</v>
      </c>
      <c r="E411" s="7" t="str">
        <f t="shared" si="33"/>
        <v>050100105</v>
      </c>
      <c r="F411" s="1" t="s">
        <v>1223</v>
      </c>
      <c r="G411" s="1" t="str">
        <f t="shared" si="34"/>
        <v>抽屉010</v>
      </c>
      <c r="H411" t="str">
        <f t="shared" si="35"/>
        <v>行号01</v>
      </c>
      <c r="I411" s="1" t="str">
        <f t="shared" si="36"/>
        <v>序号05</v>
      </c>
      <c r="J411" s="38" t="s">
        <v>1046</v>
      </c>
      <c r="K411" s="39"/>
      <c r="L411" s="39"/>
      <c r="M411" s="33"/>
      <c r="N411" s="33"/>
      <c r="O411" s="17" t="s">
        <v>1271</v>
      </c>
    </row>
    <row r="412" spans="1:15">
      <c r="A412" s="8" t="s">
        <v>22</v>
      </c>
      <c r="B412" s="8" t="s">
        <v>352</v>
      </c>
      <c r="C412" s="10" t="s">
        <v>14</v>
      </c>
      <c r="D412" s="8" t="s">
        <v>26</v>
      </c>
      <c r="E412" s="7" t="str">
        <f t="shared" si="33"/>
        <v>050100107</v>
      </c>
      <c r="F412" s="1" t="s">
        <v>1223</v>
      </c>
      <c r="G412" s="1" t="str">
        <f t="shared" si="34"/>
        <v>抽屉010</v>
      </c>
      <c r="H412" t="str">
        <f t="shared" si="35"/>
        <v>行号01</v>
      </c>
      <c r="I412" s="1" t="str">
        <f t="shared" si="36"/>
        <v>序号07</v>
      </c>
      <c r="J412" s="38" t="s">
        <v>631</v>
      </c>
      <c r="K412" s="39"/>
      <c r="L412" s="39"/>
      <c r="M412" s="33"/>
      <c r="N412" s="33"/>
      <c r="O412" s="17" t="s">
        <v>1271</v>
      </c>
    </row>
    <row r="413" spans="1:15">
      <c r="A413" s="8" t="s">
        <v>22</v>
      </c>
      <c r="B413" s="8" t="s">
        <v>352</v>
      </c>
      <c r="C413" s="10" t="s">
        <v>14</v>
      </c>
      <c r="D413" s="8" t="s">
        <v>28</v>
      </c>
      <c r="E413" s="7" t="str">
        <f t="shared" si="33"/>
        <v>050100108</v>
      </c>
      <c r="F413" s="1" t="s">
        <v>1223</v>
      </c>
      <c r="G413" s="1" t="str">
        <f t="shared" si="34"/>
        <v>抽屉010</v>
      </c>
      <c r="H413" t="str">
        <f t="shared" si="35"/>
        <v>行号01</v>
      </c>
      <c r="I413" s="1" t="str">
        <f t="shared" si="36"/>
        <v>序号08</v>
      </c>
      <c r="J413" s="38"/>
      <c r="K413" s="41"/>
      <c r="L413" s="41"/>
      <c r="M413" s="41">
        <v>0</v>
      </c>
      <c r="N413" s="41">
        <v>0</v>
      </c>
    </row>
    <row r="414" spans="1:15">
      <c r="A414" s="8" t="s">
        <v>22</v>
      </c>
      <c r="B414" s="8" t="s">
        <v>352</v>
      </c>
      <c r="C414" s="8" t="s">
        <v>16</v>
      </c>
      <c r="D414" s="11" t="s">
        <v>14</v>
      </c>
      <c r="E414" s="7" t="str">
        <f t="shared" si="33"/>
        <v>050100201</v>
      </c>
      <c r="F414" s="1" t="s">
        <v>1223</v>
      </c>
      <c r="G414" s="1" t="str">
        <f t="shared" si="34"/>
        <v>抽屉010</v>
      </c>
      <c r="H414" t="str">
        <f t="shared" si="35"/>
        <v>行号02</v>
      </c>
      <c r="I414" s="1" t="str">
        <f t="shared" si="36"/>
        <v>序号01</v>
      </c>
      <c r="J414" s="24" t="s">
        <v>1048</v>
      </c>
      <c r="K414" s="39"/>
      <c r="L414" s="39"/>
      <c r="M414" s="33"/>
      <c r="N414" s="33"/>
      <c r="O414" s="17" t="s">
        <v>1271</v>
      </c>
    </row>
    <row r="415" spans="1:15">
      <c r="A415" s="8" t="s">
        <v>22</v>
      </c>
      <c r="B415" s="8" t="s">
        <v>352</v>
      </c>
      <c r="C415" s="8" t="s">
        <v>16</v>
      </c>
      <c r="D415" s="11" t="s">
        <v>16</v>
      </c>
      <c r="E415" s="7" t="str">
        <f t="shared" si="33"/>
        <v>050100202</v>
      </c>
      <c r="F415" s="1" t="s">
        <v>1223</v>
      </c>
      <c r="G415" s="1" t="str">
        <f t="shared" si="34"/>
        <v>抽屉010</v>
      </c>
      <c r="H415" t="str">
        <f t="shared" si="35"/>
        <v>行号02</v>
      </c>
      <c r="I415" s="1" t="str">
        <f t="shared" si="36"/>
        <v>序号02</v>
      </c>
      <c r="J415" s="24" t="s">
        <v>1049</v>
      </c>
      <c r="K415" s="39"/>
      <c r="L415" s="39"/>
      <c r="M415" s="33"/>
      <c r="N415" s="33"/>
      <c r="O415" s="17" t="s">
        <v>1271</v>
      </c>
    </row>
    <row r="416" spans="1:15">
      <c r="A416" s="8" t="s">
        <v>22</v>
      </c>
      <c r="B416" s="8" t="s">
        <v>352</v>
      </c>
      <c r="C416" s="8" t="s">
        <v>16</v>
      </c>
      <c r="D416" s="11" t="s">
        <v>28</v>
      </c>
      <c r="E416" s="7" t="str">
        <f t="shared" si="33"/>
        <v>050100208</v>
      </c>
      <c r="F416" s="1" t="s">
        <v>1223</v>
      </c>
      <c r="G416" s="1" t="str">
        <f t="shared" si="34"/>
        <v>抽屉010</v>
      </c>
      <c r="H416" t="str">
        <f t="shared" si="35"/>
        <v>行号02</v>
      </c>
      <c r="I416" s="1" t="str">
        <f t="shared" si="36"/>
        <v>序号08</v>
      </c>
      <c r="J416" s="24" t="s">
        <v>1055</v>
      </c>
      <c r="K416" s="39"/>
      <c r="L416" s="39"/>
      <c r="M416" s="33"/>
      <c r="N416" s="33"/>
      <c r="O416" s="17" t="s">
        <v>1271</v>
      </c>
    </row>
    <row r="417" spans="1:15">
      <c r="A417" s="8" t="s">
        <v>22</v>
      </c>
      <c r="B417" s="8" t="s">
        <v>352</v>
      </c>
      <c r="C417" s="10" t="s">
        <v>18</v>
      </c>
      <c r="D417" s="8" t="s">
        <v>14</v>
      </c>
      <c r="E417" s="7" t="str">
        <f t="shared" si="33"/>
        <v>050100301</v>
      </c>
      <c r="F417" s="1" t="s">
        <v>1223</v>
      </c>
      <c r="G417" s="1" t="str">
        <f t="shared" si="34"/>
        <v>抽屉010</v>
      </c>
      <c r="H417" t="str">
        <f t="shared" si="35"/>
        <v>行号03</v>
      </c>
      <c r="I417" s="1" t="str">
        <f t="shared" si="36"/>
        <v>序号01</v>
      </c>
      <c r="J417" s="24" t="s">
        <v>1056</v>
      </c>
      <c r="K417" s="39"/>
      <c r="L417" s="39"/>
      <c r="M417" s="33"/>
      <c r="N417" s="33"/>
      <c r="O417" s="17" t="s">
        <v>1271</v>
      </c>
    </row>
    <row r="418" spans="1:15">
      <c r="A418" s="8" t="s">
        <v>22</v>
      </c>
      <c r="B418" s="8" t="s">
        <v>352</v>
      </c>
      <c r="C418" s="10" t="s">
        <v>18</v>
      </c>
      <c r="D418" s="8" t="s">
        <v>16</v>
      </c>
      <c r="E418" s="7" t="str">
        <f t="shared" si="33"/>
        <v>050100302</v>
      </c>
      <c r="F418" s="1" t="s">
        <v>1223</v>
      </c>
      <c r="G418" s="1" t="str">
        <f t="shared" si="34"/>
        <v>抽屉010</v>
      </c>
      <c r="H418" t="str">
        <f t="shared" si="35"/>
        <v>行号03</v>
      </c>
      <c r="I418" s="1" t="str">
        <f t="shared" si="36"/>
        <v>序号02</v>
      </c>
      <c r="J418" s="38" t="s">
        <v>1057</v>
      </c>
      <c r="K418" s="39"/>
      <c r="L418" s="39"/>
      <c r="M418" s="33"/>
      <c r="N418" s="33"/>
      <c r="O418" s="17" t="s">
        <v>1271</v>
      </c>
    </row>
    <row r="419" spans="1:15">
      <c r="A419" s="8" t="s">
        <v>22</v>
      </c>
      <c r="B419" s="8" t="s">
        <v>352</v>
      </c>
      <c r="C419" s="10" t="s">
        <v>18</v>
      </c>
      <c r="D419" s="8" t="s">
        <v>18</v>
      </c>
      <c r="E419" s="7" t="str">
        <f t="shared" si="33"/>
        <v>050100303</v>
      </c>
      <c r="F419" s="1" t="s">
        <v>1223</v>
      </c>
      <c r="G419" s="1" t="str">
        <f t="shared" si="34"/>
        <v>抽屉010</v>
      </c>
      <c r="H419" t="str">
        <f t="shared" si="35"/>
        <v>行号03</v>
      </c>
      <c r="I419" s="1" t="str">
        <f t="shared" si="36"/>
        <v>序号03</v>
      </c>
      <c r="J419" s="38" t="s">
        <v>1058</v>
      </c>
      <c r="K419" s="39"/>
      <c r="L419" s="39"/>
      <c r="M419" s="33"/>
      <c r="N419" s="33"/>
      <c r="O419" s="17" t="s">
        <v>1271</v>
      </c>
    </row>
    <row r="420" spans="1:15">
      <c r="A420" s="8" t="s">
        <v>22</v>
      </c>
      <c r="B420" s="8" t="s">
        <v>352</v>
      </c>
      <c r="C420" s="10" t="s">
        <v>18</v>
      </c>
      <c r="D420" s="8" t="s">
        <v>24</v>
      </c>
      <c r="E420" s="7" t="str">
        <f t="shared" si="33"/>
        <v>050100306</v>
      </c>
      <c r="F420" s="1" t="s">
        <v>1223</v>
      </c>
      <c r="G420" s="1" t="str">
        <f t="shared" si="34"/>
        <v>抽屉010</v>
      </c>
      <c r="H420" t="str">
        <f t="shared" si="35"/>
        <v>行号03</v>
      </c>
      <c r="I420" s="1" t="str">
        <f t="shared" si="36"/>
        <v>序号06</v>
      </c>
      <c r="J420" s="38" t="s">
        <v>1061</v>
      </c>
      <c r="K420" s="39"/>
      <c r="L420" s="39"/>
      <c r="M420" s="33"/>
      <c r="N420" s="33"/>
      <c r="O420" s="17" t="s">
        <v>1271</v>
      </c>
    </row>
    <row r="421" spans="1:15">
      <c r="A421" s="8" t="s">
        <v>22</v>
      </c>
      <c r="B421" s="8" t="s">
        <v>352</v>
      </c>
      <c r="C421" s="10" t="s">
        <v>18</v>
      </c>
      <c r="D421" s="8" t="s">
        <v>26</v>
      </c>
      <c r="E421" s="7" t="str">
        <f t="shared" si="33"/>
        <v>050100307</v>
      </c>
      <c r="F421" s="1" t="s">
        <v>1223</v>
      </c>
      <c r="G421" s="1" t="str">
        <f t="shared" si="34"/>
        <v>抽屉010</v>
      </c>
      <c r="H421" t="str">
        <f t="shared" si="35"/>
        <v>行号03</v>
      </c>
      <c r="I421" s="1" t="str">
        <f t="shared" si="36"/>
        <v>序号07</v>
      </c>
      <c r="J421" s="38" t="s">
        <v>1062</v>
      </c>
      <c r="K421" s="39"/>
      <c r="L421" s="39"/>
      <c r="M421" s="33"/>
      <c r="N421" s="33"/>
      <c r="O421" s="17" t="s">
        <v>1271</v>
      </c>
    </row>
    <row r="422" spans="1:15">
      <c r="A422" s="8" t="s">
        <v>22</v>
      </c>
      <c r="B422" s="8" t="s">
        <v>352</v>
      </c>
      <c r="C422" s="8" t="s">
        <v>20</v>
      </c>
      <c r="D422" s="11" t="s">
        <v>22</v>
      </c>
      <c r="E422" s="7" t="str">
        <f t="shared" si="33"/>
        <v>050100405</v>
      </c>
      <c r="F422" s="1" t="s">
        <v>1223</v>
      </c>
      <c r="G422" s="1" t="str">
        <f t="shared" si="34"/>
        <v>抽屉010</v>
      </c>
      <c r="H422" t="str">
        <f t="shared" si="35"/>
        <v>行号04</v>
      </c>
      <c r="I422" s="1" t="str">
        <f t="shared" si="36"/>
        <v>序号05</v>
      </c>
      <c r="J422" s="38" t="s">
        <v>1067</v>
      </c>
      <c r="K422" s="39"/>
      <c r="L422" s="39"/>
      <c r="M422" s="33"/>
      <c r="N422" s="33"/>
      <c r="O422" s="17" t="s">
        <v>1271</v>
      </c>
    </row>
    <row r="423" spans="1:15">
      <c r="A423" s="8" t="s">
        <v>22</v>
      </c>
      <c r="B423" s="8" t="s">
        <v>352</v>
      </c>
      <c r="C423" s="8" t="s">
        <v>20</v>
      </c>
      <c r="D423" s="11" t="s">
        <v>24</v>
      </c>
      <c r="E423" s="7" t="str">
        <f t="shared" si="33"/>
        <v>050100406</v>
      </c>
      <c r="F423" s="1" t="s">
        <v>1223</v>
      </c>
      <c r="G423" s="1" t="str">
        <f t="shared" si="34"/>
        <v>抽屉010</v>
      </c>
      <c r="H423" t="str">
        <f t="shared" si="35"/>
        <v>行号04</v>
      </c>
      <c r="I423" s="1" t="str">
        <f t="shared" si="36"/>
        <v>序号06</v>
      </c>
      <c r="J423" s="38" t="s">
        <v>1068</v>
      </c>
      <c r="K423" s="39"/>
      <c r="L423" s="39"/>
      <c r="M423" s="33"/>
      <c r="N423" s="33"/>
      <c r="O423" s="17" t="s">
        <v>1271</v>
      </c>
    </row>
    <row r="424" spans="1:15">
      <c r="A424" s="8" t="s">
        <v>22</v>
      </c>
      <c r="B424" s="8" t="s">
        <v>382</v>
      </c>
      <c r="C424" s="10" t="s">
        <v>14</v>
      </c>
      <c r="D424" s="8" t="s">
        <v>18</v>
      </c>
      <c r="E424" s="7" t="str">
        <f t="shared" si="33"/>
        <v>050110103</v>
      </c>
      <c r="F424" s="1" t="s">
        <v>1223</v>
      </c>
      <c r="G424" s="1" t="str">
        <f t="shared" si="34"/>
        <v>抽屉011</v>
      </c>
      <c r="H424" t="str">
        <f t="shared" si="35"/>
        <v>行号01</v>
      </c>
      <c r="I424" s="1" t="str">
        <f t="shared" si="36"/>
        <v>序号03</v>
      </c>
      <c r="J424" s="38" t="s">
        <v>1072</v>
      </c>
      <c r="K424" s="39"/>
      <c r="L424" s="39"/>
      <c r="M424" s="33"/>
      <c r="N424" s="33"/>
      <c r="O424" s="17" t="s">
        <v>1271</v>
      </c>
    </row>
    <row r="425" spans="1:15">
      <c r="A425" s="8" t="s">
        <v>22</v>
      </c>
      <c r="B425" s="8" t="s">
        <v>382</v>
      </c>
      <c r="C425" s="10" t="s">
        <v>14</v>
      </c>
      <c r="D425" s="8" t="s">
        <v>20</v>
      </c>
      <c r="E425" s="7" t="str">
        <f t="shared" si="33"/>
        <v>050110104</v>
      </c>
      <c r="F425" s="1" t="s">
        <v>1223</v>
      </c>
      <c r="G425" s="1" t="str">
        <f t="shared" si="34"/>
        <v>抽屉011</v>
      </c>
      <c r="H425" t="str">
        <f t="shared" si="35"/>
        <v>行号01</v>
      </c>
      <c r="I425" s="1" t="str">
        <f t="shared" si="36"/>
        <v>序号04</v>
      </c>
      <c r="J425" s="38" t="s">
        <v>1073</v>
      </c>
      <c r="K425" s="39"/>
      <c r="L425" s="39"/>
      <c r="M425" s="33"/>
      <c r="N425" s="33"/>
      <c r="O425" s="17" t="s">
        <v>1271</v>
      </c>
    </row>
    <row r="426" spans="1:15">
      <c r="A426" s="8" t="s">
        <v>22</v>
      </c>
      <c r="B426" s="8" t="s">
        <v>382</v>
      </c>
      <c r="C426" s="8" t="s">
        <v>16</v>
      </c>
      <c r="D426" s="11" t="s">
        <v>14</v>
      </c>
      <c r="E426" s="7" t="str">
        <f t="shared" si="33"/>
        <v>050110201</v>
      </c>
      <c r="F426" s="1" t="s">
        <v>1223</v>
      </c>
      <c r="G426" s="1" t="str">
        <f t="shared" si="34"/>
        <v>抽屉011</v>
      </c>
      <c r="H426" t="str">
        <f t="shared" si="35"/>
        <v>行号02</v>
      </c>
      <c r="I426" s="1" t="str">
        <f t="shared" si="36"/>
        <v>序号01</v>
      </c>
      <c r="J426" s="38" t="s">
        <v>1076</v>
      </c>
      <c r="K426" s="39"/>
      <c r="L426" s="39"/>
      <c r="M426" s="33"/>
      <c r="N426" s="33"/>
      <c r="O426" s="17" t="s">
        <v>1271</v>
      </c>
    </row>
    <row r="427" spans="1:15">
      <c r="A427" s="8" t="s">
        <v>22</v>
      </c>
      <c r="B427" s="8" t="s">
        <v>382</v>
      </c>
      <c r="C427" s="8" t="s">
        <v>16</v>
      </c>
      <c r="D427" s="11" t="s">
        <v>16</v>
      </c>
      <c r="E427" s="7" t="str">
        <f t="shared" si="33"/>
        <v>050110202</v>
      </c>
      <c r="F427" s="1" t="s">
        <v>1223</v>
      </c>
      <c r="G427" s="1" t="str">
        <f t="shared" si="34"/>
        <v>抽屉011</v>
      </c>
      <c r="H427" t="str">
        <f t="shared" si="35"/>
        <v>行号02</v>
      </c>
      <c r="I427" s="1" t="str">
        <f t="shared" si="36"/>
        <v>序号02</v>
      </c>
      <c r="J427" s="38" t="s">
        <v>1077</v>
      </c>
      <c r="K427" s="39"/>
      <c r="L427" s="39"/>
      <c r="M427" s="33"/>
      <c r="N427" s="33"/>
      <c r="O427" s="17" t="s">
        <v>1271</v>
      </c>
    </row>
    <row r="428" spans="1:15">
      <c r="A428" s="8" t="s">
        <v>22</v>
      </c>
      <c r="B428" s="8" t="s">
        <v>382</v>
      </c>
      <c r="C428" s="8" t="s">
        <v>16</v>
      </c>
      <c r="D428" s="11" t="s">
        <v>18</v>
      </c>
      <c r="E428" s="7" t="str">
        <f t="shared" si="33"/>
        <v>050110203</v>
      </c>
      <c r="F428" s="1" t="s">
        <v>1223</v>
      </c>
      <c r="G428" s="1" t="str">
        <f t="shared" si="34"/>
        <v>抽屉011</v>
      </c>
      <c r="H428" t="str">
        <f t="shared" si="35"/>
        <v>行号02</v>
      </c>
      <c r="I428" s="1" t="str">
        <f t="shared" si="36"/>
        <v>序号03</v>
      </c>
      <c r="J428" s="38" t="s">
        <v>1078</v>
      </c>
      <c r="K428" s="39"/>
      <c r="L428" s="39"/>
      <c r="M428" s="33"/>
      <c r="N428" s="33"/>
      <c r="O428" s="17" t="s">
        <v>1271</v>
      </c>
    </row>
    <row r="429" spans="1:15">
      <c r="A429" s="8" t="s">
        <v>22</v>
      </c>
      <c r="B429" s="8" t="s">
        <v>382</v>
      </c>
      <c r="C429" s="8" t="s">
        <v>16</v>
      </c>
      <c r="D429" s="11" t="s">
        <v>22</v>
      </c>
      <c r="E429" s="7" t="str">
        <f t="shared" si="33"/>
        <v>050110205</v>
      </c>
      <c r="F429" s="1" t="s">
        <v>1223</v>
      </c>
      <c r="G429" s="1" t="str">
        <f t="shared" si="34"/>
        <v>抽屉011</v>
      </c>
      <c r="H429" t="str">
        <f t="shared" si="35"/>
        <v>行号02</v>
      </c>
      <c r="I429" s="1" t="str">
        <f t="shared" si="36"/>
        <v>序号05</v>
      </c>
      <c r="J429" s="38" t="s">
        <v>1080</v>
      </c>
      <c r="K429" s="39"/>
      <c r="L429" s="39"/>
      <c r="M429" s="33"/>
      <c r="N429" s="33"/>
      <c r="O429" s="17" t="s">
        <v>1271</v>
      </c>
    </row>
    <row r="430" spans="1:15">
      <c r="A430" s="8" t="s">
        <v>22</v>
      </c>
      <c r="B430" s="8" t="s">
        <v>382</v>
      </c>
      <c r="C430" s="8" t="s">
        <v>16</v>
      </c>
      <c r="D430" s="11" t="s">
        <v>26</v>
      </c>
      <c r="E430" s="7" t="str">
        <f t="shared" si="33"/>
        <v>050110207</v>
      </c>
      <c r="F430" s="1" t="s">
        <v>1223</v>
      </c>
      <c r="G430" s="1" t="str">
        <f t="shared" si="34"/>
        <v>抽屉011</v>
      </c>
      <c r="H430" t="str">
        <f t="shared" si="35"/>
        <v>行号02</v>
      </c>
      <c r="I430" s="1" t="str">
        <f t="shared" si="36"/>
        <v>序号07</v>
      </c>
      <c r="J430" s="38" t="s">
        <v>1082</v>
      </c>
      <c r="K430" s="39"/>
      <c r="L430" s="39"/>
      <c r="M430" s="33"/>
      <c r="N430" s="33"/>
      <c r="O430" s="17" t="s">
        <v>1271</v>
      </c>
    </row>
    <row r="431" spans="1:15">
      <c r="A431" s="8" t="s">
        <v>22</v>
      </c>
      <c r="B431" s="8" t="s">
        <v>382</v>
      </c>
      <c r="C431" s="10" t="s">
        <v>18</v>
      </c>
      <c r="D431" s="8" t="s">
        <v>14</v>
      </c>
      <c r="E431" s="7" t="str">
        <f t="shared" si="33"/>
        <v>050110301</v>
      </c>
      <c r="F431" s="1" t="s">
        <v>1223</v>
      </c>
      <c r="G431" s="1" t="str">
        <f t="shared" si="34"/>
        <v>抽屉011</v>
      </c>
      <c r="H431" t="str">
        <f t="shared" si="35"/>
        <v>行号03</v>
      </c>
      <c r="I431" s="1" t="str">
        <f t="shared" si="36"/>
        <v>序号01</v>
      </c>
      <c r="J431" s="38" t="s">
        <v>1083</v>
      </c>
      <c r="K431" s="39"/>
      <c r="L431" s="39"/>
      <c r="M431" s="33"/>
      <c r="N431" s="33"/>
      <c r="O431" s="17" t="s">
        <v>1271</v>
      </c>
    </row>
    <row r="432" spans="1:15">
      <c r="A432" s="8" t="s">
        <v>22</v>
      </c>
      <c r="B432" s="8" t="s">
        <v>382</v>
      </c>
      <c r="C432" s="10" t="s">
        <v>18</v>
      </c>
      <c r="D432" s="8" t="s">
        <v>16</v>
      </c>
      <c r="E432" s="7" t="str">
        <f t="shared" si="33"/>
        <v>050110302</v>
      </c>
      <c r="F432" s="1" t="s">
        <v>1223</v>
      </c>
      <c r="G432" s="1" t="str">
        <f t="shared" si="34"/>
        <v>抽屉011</v>
      </c>
      <c r="H432" t="str">
        <f t="shared" si="35"/>
        <v>行号03</v>
      </c>
      <c r="I432" s="1" t="str">
        <f t="shared" si="36"/>
        <v>序号02</v>
      </c>
      <c r="J432" s="38" t="s">
        <v>1084</v>
      </c>
      <c r="K432" s="39"/>
      <c r="L432" s="39"/>
      <c r="M432" s="33"/>
      <c r="N432" s="33"/>
      <c r="O432" s="17" t="s">
        <v>1271</v>
      </c>
    </row>
    <row r="433" spans="1:15">
      <c r="A433" s="8" t="s">
        <v>22</v>
      </c>
      <c r="B433" s="8" t="s">
        <v>382</v>
      </c>
      <c r="C433" s="10" t="s">
        <v>18</v>
      </c>
      <c r="D433" s="8" t="s">
        <v>18</v>
      </c>
      <c r="E433" s="7" t="str">
        <f t="shared" si="33"/>
        <v>050110303</v>
      </c>
      <c r="F433" s="1" t="s">
        <v>1223</v>
      </c>
      <c r="G433" s="1" t="str">
        <f t="shared" si="34"/>
        <v>抽屉011</v>
      </c>
      <c r="H433" t="str">
        <f t="shared" si="35"/>
        <v>行号03</v>
      </c>
      <c r="I433" s="1" t="str">
        <f t="shared" si="36"/>
        <v>序号03</v>
      </c>
      <c r="J433" s="38" t="s">
        <v>1085</v>
      </c>
      <c r="K433" s="39"/>
      <c r="L433" s="39"/>
      <c r="M433" s="33"/>
      <c r="N433" s="33"/>
      <c r="O433" s="17" t="s">
        <v>1271</v>
      </c>
    </row>
    <row r="434" spans="1:15">
      <c r="A434" s="8" t="s">
        <v>22</v>
      </c>
      <c r="B434" s="8" t="s">
        <v>382</v>
      </c>
      <c r="C434" s="10" t="s">
        <v>18</v>
      </c>
      <c r="D434" s="8" t="s">
        <v>22</v>
      </c>
      <c r="E434" s="7" t="str">
        <f t="shared" si="33"/>
        <v>050110305</v>
      </c>
      <c r="F434" s="1" t="s">
        <v>1223</v>
      </c>
      <c r="G434" s="1" t="str">
        <f t="shared" si="34"/>
        <v>抽屉011</v>
      </c>
      <c r="H434" t="str">
        <f t="shared" si="35"/>
        <v>行号03</v>
      </c>
      <c r="I434" s="1" t="str">
        <f t="shared" si="36"/>
        <v>序号05</v>
      </c>
      <c r="J434" s="38" t="s">
        <v>1087</v>
      </c>
      <c r="K434" s="39"/>
      <c r="L434" s="39"/>
      <c r="M434" s="33"/>
      <c r="N434" s="33"/>
      <c r="O434" s="17" t="s">
        <v>1271</v>
      </c>
    </row>
    <row r="435" spans="1:15">
      <c r="A435" s="8" t="s">
        <v>22</v>
      </c>
      <c r="B435" s="8" t="s">
        <v>382</v>
      </c>
      <c r="C435" s="10" t="s">
        <v>18</v>
      </c>
      <c r="D435" s="8" t="s">
        <v>24</v>
      </c>
      <c r="E435" s="7" t="str">
        <f t="shared" si="33"/>
        <v>050110306</v>
      </c>
      <c r="F435" s="1" t="s">
        <v>1223</v>
      </c>
      <c r="G435" s="1" t="str">
        <f t="shared" si="34"/>
        <v>抽屉011</v>
      </c>
      <c r="H435" t="str">
        <f t="shared" si="35"/>
        <v>行号03</v>
      </c>
      <c r="I435" s="1" t="str">
        <f t="shared" si="36"/>
        <v>序号06</v>
      </c>
      <c r="J435" s="38" t="s">
        <v>1088</v>
      </c>
      <c r="K435" s="39"/>
      <c r="L435" s="39"/>
      <c r="M435" s="33"/>
      <c r="N435" s="33"/>
      <c r="O435" s="17" t="s">
        <v>1271</v>
      </c>
    </row>
    <row r="436" spans="1:15">
      <c r="A436" s="8" t="s">
        <v>22</v>
      </c>
      <c r="B436" s="8" t="s">
        <v>382</v>
      </c>
      <c r="C436" s="8" t="s">
        <v>20</v>
      </c>
      <c r="D436" s="11" t="s">
        <v>14</v>
      </c>
      <c r="E436" s="7" t="str">
        <f t="shared" si="33"/>
        <v>050110401</v>
      </c>
      <c r="F436" s="1" t="s">
        <v>1223</v>
      </c>
      <c r="G436" s="1" t="str">
        <f t="shared" si="34"/>
        <v>抽屉011</v>
      </c>
      <c r="H436" t="str">
        <f t="shared" si="35"/>
        <v>行号04</v>
      </c>
      <c r="I436" s="1" t="str">
        <f t="shared" si="36"/>
        <v>序号01</v>
      </c>
      <c r="J436" s="38" t="s">
        <v>1089</v>
      </c>
      <c r="K436" s="39"/>
      <c r="L436" s="39"/>
      <c r="M436" s="33"/>
      <c r="N436" s="33"/>
      <c r="O436" s="17" t="s">
        <v>1271</v>
      </c>
    </row>
    <row r="437" spans="1:15">
      <c r="A437" s="8" t="s">
        <v>22</v>
      </c>
      <c r="B437" s="8" t="s">
        <v>382</v>
      </c>
      <c r="C437" s="8" t="s">
        <v>20</v>
      </c>
      <c r="D437" s="11" t="s">
        <v>18</v>
      </c>
      <c r="E437" s="7" t="str">
        <f t="shared" si="33"/>
        <v>050110403</v>
      </c>
      <c r="F437" s="1" t="s">
        <v>1223</v>
      </c>
      <c r="G437" s="1" t="str">
        <f t="shared" si="34"/>
        <v>抽屉011</v>
      </c>
      <c r="H437" t="str">
        <f t="shared" si="35"/>
        <v>行号04</v>
      </c>
      <c r="I437" s="1" t="str">
        <f t="shared" si="36"/>
        <v>序号03</v>
      </c>
      <c r="J437" s="38" t="s">
        <v>1091</v>
      </c>
      <c r="K437" s="39"/>
      <c r="L437" s="39"/>
      <c r="M437" s="33"/>
      <c r="N437" s="33"/>
      <c r="O437" s="17" t="s">
        <v>1271</v>
      </c>
    </row>
    <row r="438" spans="1:15">
      <c r="A438" s="8" t="s">
        <v>22</v>
      </c>
      <c r="B438" s="8" t="s">
        <v>398</v>
      </c>
      <c r="C438" s="10" t="s">
        <v>14</v>
      </c>
      <c r="D438" s="8" t="s">
        <v>16</v>
      </c>
      <c r="E438" s="7" t="str">
        <f t="shared" si="33"/>
        <v>050120102</v>
      </c>
      <c r="F438" s="1" t="s">
        <v>1223</v>
      </c>
      <c r="G438" s="1" t="str">
        <f t="shared" si="34"/>
        <v>抽屉012</v>
      </c>
      <c r="H438" t="str">
        <f t="shared" si="35"/>
        <v>行号01</v>
      </c>
      <c r="I438" s="1" t="str">
        <f t="shared" si="36"/>
        <v>序号02</v>
      </c>
      <c r="J438" s="38" t="s">
        <v>1093</v>
      </c>
      <c r="K438" s="39"/>
      <c r="L438" s="39"/>
      <c r="M438" s="33"/>
      <c r="N438" s="33"/>
      <c r="O438" s="17" t="s">
        <v>1271</v>
      </c>
    </row>
    <row r="439" spans="1:15">
      <c r="A439" s="8" t="s">
        <v>22</v>
      </c>
      <c r="B439" s="8" t="s">
        <v>398</v>
      </c>
      <c r="C439" s="10" t="s">
        <v>14</v>
      </c>
      <c r="D439" s="8" t="s">
        <v>18</v>
      </c>
      <c r="E439" s="7" t="str">
        <f t="shared" si="33"/>
        <v>050120103</v>
      </c>
      <c r="F439" s="1" t="s">
        <v>1223</v>
      </c>
      <c r="G439" s="1" t="str">
        <f t="shared" si="34"/>
        <v>抽屉012</v>
      </c>
      <c r="H439" t="str">
        <f t="shared" si="35"/>
        <v>行号01</v>
      </c>
      <c r="I439" s="1" t="str">
        <f t="shared" si="36"/>
        <v>序号03</v>
      </c>
      <c r="J439" s="38" t="s">
        <v>1094</v>
      </c>
      <c r="K439" s="39"/>
      <c r="L439" s="39"/>
      <c r="M439" s="33"/>
      <c r="N439" s="33"/>
      <c r="O439" s="17" t="s">
        <v>1271</v>
      </c>
    </row>
    <row r="440" spans="1:15">
      <c r="A440" s="8" t="s">
        <v>22</v>
      </c>
      <c r="B440" s="8" t="s">
        <v>398</v>
      </c>
      <c r="C440" s="10" t="s">
        <v>14</v>
      </c>
      <c r="D440" s="8" t="s">
        <v>22</v>
      </c>
      <c r="E440" s="7" t="str">
        <f t="shared" si="33"/>
        <v>050120105</v>
      </c>
      <c r="F440" s="1" t="s">
        <v>1223</v>
      </c>
      <c r="G440" s="1" t="str">
        <f t="shared" si="34"/>
        <v>抽屉012</v>
      </c>
      <c r="H440" t="str">
        <f t="shared" si="35"/>
        <v>行号01</v>
      </c>
      <c r="I440" s="1" t="str">
        <f t="shared" si="36"/>
        <v>序号05</v>
      </c>
      <c r="J440" s="24" t="s">
        <v>1096</v>
      </c>
      <c r="K440" s="39"/>
      <c r="L440" s="39"/>
      <c r="M440" s="33"/>
      <c r="N440" s="33"/>
      <c r="O440" s="17" t="s">
        <v>1271</v>
      </c>
    </row>
    <row r="441" spans="1:15">
      <c r="A441" s="8" t="s">
        <v>22</v>
      </c>
      <c r="B441" s="8" t="s">
        <v>398</v>
      </c>
      <c r="C441" s="10" t="s">
        <v>14</v>
      </c>
      <c r="D441" s="8" t="s">
        <v>26</v>
      </c>
      <c r="E441" s="7" t="str">
        <f t="shared" si="33"/>
        <v>050120107</v>
      </c>
      <c r="F441" s="1" t="s">
        <v>1223</v>
      </c>
      <c r="G441" s="1" t="str">
        <f t="shared" si="34"/>
        <v>抽屉012</v>
      </c>
      <c r="H441" t="str">
        <f t="shared" si="35"/>
        <v>行号01</v>
      </c>
      <c r="I441" s="1" t="str">
        <f t="shared" si="36"/>
        <v>序号07</v>
      </c>
      <c r="J441" s="24" t="s">
        <v>1098</v>
      </c>
      <c r="K441" s="39"/>
      <c r="L441" s="39"/>
      <c r="M441" s="33"/>
      <c r="N441" s="33"/>
      <c r="O441" s="32" t="s">
        <v>1233</v>
      </c>
    </row>
    <row r="442" spans="1:15">
      <c r="A442" s="8" t="s">
        <v>22</v>
      </c>
      <c r="B442" s="8" t="s">
        <v>398</v>
      </c>
      <c r="C442" s="8" t="s">
        <v>16</v>
      </c>
      <c r="D442" s="11" t="s">
        <v>14</v>
      </c>
      <c r="E442" s="7" t="str">
        <f t="shared" si="33"/>
        <v>050120201</v>
      </c>
      <c r="F442" s="1" t="s">
        <v>1223</v>
      </c>
      <c r="G442" s="1" t="str">
        <f t="shared" si="34"/>
        <v>抽屉012</v>
      </c>
      <c r="H442" t="str">
        <f t="shared" si="35"/>
        <v>行号02</v>
      </c>
      <c r="I442" s="1" t="str">
        <f t="shared" si="36"/>
        <v>序号01</v>
      </c>
      <c r="J442" s="38" t="s">
        <v>1099</v>
      </c>
      <c r="K442" s="39"/>
      <c r="L442" s="39"/>
      <c r="M442" s="33"/>
      <c r="N442" s="33"/>
      <c r="O442" s="32" t="s">
        <v>1233</v>
      </c>
    </row>
    <row r="443" spans="1:15">
      <c r="A443" s="8" t="s">
        <v>22</v>
      </c>
      <c r="B443" s="8" t="s">
        <v>398</v>
      </c>
      <c r="C443" s="8" t="s">
        <v>16</v>
      </c>
      <c r="D443" s="11" t="s">
        <v>16</v>
      </c>
      <c r="E443" s="7" t="str">
        <f t="shared" si="33"/>
        <v>050120202</v>
      </c>
      <c r="F443" s="1" t="s">
        <v>1223</v>
      </c>
      <c r="G443" s="1" t="str">
        <f t="shared" si="34"/>
        <v>抽屉012</v>
      </c>
      <c r="H443" t="str">
        <f t="shared" si="35"/>
        <v>行号02</v>
      </c>
      <c r="I443" s="1" t="str">
        <f t="shared" si="36"/>
        <v>序号02</v>
      </c>
      <c r="J443" s="38" t="s">
        <v>1100</v>
      </c>
      <c r="K443" s="39"/>
      <c r="L443" s="39"/>
      <c r="M443" s="33"/>
      <c r="N443" s="33"/>
      <c r="O443" s="17" t="s">
        <v>1271</v>
      </c>
    </row>
    <row r="444" spans="1:15">
      <c r="A444" s="8" t="s">
        <v>22</v>
      </c>
      <c r="B444" s="8" t="s">
        <v>415</v>
      </c>
      <c r="C444" s="10" t="s">
        <v>14</v>
      </c>
      <c r="D444" s="8" t="s">
        <v>14</v>
      </c>
      <c r="E444" s="7" t="str">
        <f t="shared" si="33"/>
        <v>050130101</v>
      </c>
      <c r="F444" s="1" t="s">
        <v>1223</v>
      </c>
      <c r="G444" s="1" t="str">
        <f t="shared" si="34"/>
        <v>抽屉013</v>
      </c>
      <c r="H444" t="str">
        <f t="shared" si="35"/>
        <v>行号01</v>
      </c>
      <c r="I444" s="1" t="str">
        <f t="shared" si="36"/>
        <v>序号01</v>
      </c>
      <c r="J444" s="38" t="s">
        <v>1105</v>
      </c>
      <c r="K444" s="39"/>
      <c r="L444" s="39"/>
      <c r="M444" s="33"/>
      <c r="N444" s="33"/>
      <c r="O444" s="23" t="s">
        <v>1272</v>
      </c>
    </row>
    <row r="445" spans="1:15">
      <c r="A445" s="8" t="s">
        <v>22</v>
      </c>
      <c r="B445" s="8" t="s">
        <v>415</v>
      </c>
      <c r="C445" s="10" t="s">
        <v>14</v>
      </c>
      <c r="D445" s="8" t="s">
        <v>18</v>
      </c>
      <c r="E445" s="7" t="str">
        <f t="shared" si="33"/>
        <v>050130103</v>
      </c>
      <c r="F445" s="1" t="s">
        <v>1223</v>
      </c>
      <c r="G445" s="1" t="str">
        <f t="shared" si="34"/>
        <v>抽屉013</v>
      </c>
      <c r="H445" t="str">
        <f t="shared" si="35"/>
        <v>行号01</v>
      </c>
      <c r="I445" s="1" t="str">
        <f t="shared" si="36"/>
        <v>序号03</v>
      </c>
      <c r="J445" s="24" t="s">
        <v>1107</v>
      </c>
      <c r="K445" s="39"/>
      <c r="L445" s="39"/>
      <c r="M445" s="33"/>
      <c r="N445" s="33"/>
      <c r="O445" s="23" t="s">
        <v>1273</v>
      </c>
    </row>
    <row r="446" spans="1:15">
      <c r="A446" s="8" t="s">
        <v>22</v>
      </c>
      <c r="B446" s="8" t="s">
        <v>415</v>
      </c>
      <c r="C446" s="10" t="s">
        <v>14</v>
      </c>
      <c r="D446" s="8" t="s">
        <v>20</v>
      </c>
      <c r="E446" s="7" t="str">
        <f t="shared" si="33"/>
        <v>050130104</v>
      </c>
      <c r="F446" s="1" t="s">
        <v>1223</v>
      </c>
      <c r="G446" s="1" t="str">
        <f t="shared" si="34"/>
        <v>抽屉013</v>
      </c>
      <c r="H446" t="str">
        <f t="shared" si="35"/>
        <v>行号01</v>
      </c>
      <c r="I446" s="1" t="str">
        <f t="shared" si="36"/>
        <v>序号04</v>
      </c>
      <c r="J446" s="24" t="s">
        <v>1108</v>
      </c>
      <c r="K446" s="39"/>
      <c r="L446" s="39"/>
      <c r="M446" s="33"/>
      <c r="N446" s="33"/>
      <c r="O446" s="23" t="s">
        <v>1273</v>
      </c>
    </row>
    <row r="447" spans="1:15">
      <c r="A447" s="8" t="s">
        <v>22</v>
      </c>
      <c r="B447" s="8" t="s">
        <v>415</v>
      </c>
      <c r="C447" s="10" t="s">
        <v>14</v>
      </c>
      <c r="D447" s="8" t="s">
        <v>22</v>
      </c>
      <c r="E447" s="7" t="str">
        <f t="shared" si="33"/>
        <v>050130105</v>
      </c>
      <c r="F447" s="1" t="s">
        <v>1223</v>
      </c>
      <c r="G447" s="1" t="str">
        <f t="shared" si="34"/>
        <v>抽屉013</v>
      </c>
      <c r="H447" t="str">
        <f t="shared" si="35"/>
        <v>行号01</v>
      </c>
      <c r="I447" s="1" t="str">
        <f t="shared" si="36"/>
        <v>序号05</v>
      </c>
      <c r="J447" s="24" t="s">
        <v>1109</v>
      </c>
      <c r="K447" s="39"/>
      <c r="L447" s="39"/>
      <c r="M447" s="33"/>
      <c r="N447" s="33"/>
      <c r="O447" s="17" t="s">
        <v>1262</v>
      </c>
    </row>
    <row r="448" spans="1:15">
      <c r="A448" s="8" t="s">
        <v>22</v>
      </c>
      <c r="B448" s="8" t="s">
        <v>415</v>
      </c>
      <c r="C448" s="8" t="s">
        <v>20</v>
      </c>
      <c r="D448" s="11" t="s">
        <v>18</v>
      </c>
      <c r="E448" s="7" t="str">
        <f t="shared" si="33"/>
        <v>050130403</v>
      </c>
      <c r="F448" s="1" t="s">
        <v>1223</v>
      </c>
      <c r="G448" s="1" t="str">
        <f t="shared" si="34"/>
        <v>抽屉013</v>
      </c>
      <c r="H448" t="str">
        <f t="shared" si="35"/>
        <v>行号04</v>
      </c>
      <c r="I448" s="1" t="str">
        <f t="shared" si="36"/>
        <v>序号03</v>
      </c>
      <c r="J448" s="24" t="s">
        <v>1121</v>
      </c>
      <c r="K448" s="39"/>
      <c r="L448" s="39"/>
      <c r="M448" s="33"/>
      <c r="N448" s="33"/>
      <c r="O448" s="23" t="s">
        <v>1274</v>
      </c>
    </row>
    <row r="449" spans="1:15">
      <c r="A449" s="8" t="s">
        <v>22</v>
      </c>
      <c r="B449" s="8" t="s">
        <v>1123</v>
      </c>
      <c r="C449" s="10" t="s">
        <v>18</v>
      </c>
      <c r="D449" s="8" t="s">
        <v>20</v>
      </c>
      <c r="E449" s="7" t="str">
        <f t="shared" si="33"/>
        <v>050140304</v>
      </c>
      <c r="F449" s="1" t="s">
        <v>1223</v>
      </c>
      <c r="G449" s="1" t="str">
        <f t="shared" si="34"/>
        <v>抽屉014</v>
      </c>
      <c r="H449" t="str">
        <f t="shared" si="35"/>
        <v>行号03</v>
      </c>
      <c r="I449" s="1" t="str">
        <f t="shared" si="36"/>
        <v>序号04</v>
      </c>
      <c r="J449" s="24" t="s">
        <v>1135</v>
      </c>
      <c r="K449" s="39"/>
      <c r="L449" s="39"/>
      <c r="M449" s="33"/>
      <c r="N449" s="33"/>
      <c r="O449" s="17" t="s">
        <v>1262</v>
      </c>
    </row>
    <row r="450" spans="1:15">
      <c r="M450" s="33"/>
      <c r="N450" s="33"/>
    </row>
  </sheetData>
  <autoFilter ref="A1:O449"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>LECHLER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Lichun Zhang (Lorenz)</dc:creator>
  <cp:lastModifiedBy>Workshop10 LNSC</cp:lastModifiedBy>
  <cp:lastPrinted>2025-11-09T23:56:00Z</cp:lastPrinted>
  <dcterms:created xsi:type="dcterms:W3CDTF">2025-11-07T02:14:00Z</dcterms:created>
  <dcterms:modified xsi:type="dcterms:W3CDTF">2026-08-12T10:10:07Z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6821A45CD82D4E5B96A9A64FB4160BC1_12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